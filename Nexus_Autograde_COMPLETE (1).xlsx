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ashapenwell/Downloads/"/>
    </mc:Choice>
  </mc:AlternateContent>
  <xr:revisionPtr revIDLastSave="0" documentId="13_ncr:1_{8679ED99-3E68-3C45-BFD3-B28929975104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Q1_Sort_Filter" sheetId="1" r:id="rId1"/>
    <sheet name="Q2_Aggregation" sheetId="2" r:id="rId2"/>
    <sheet name="Q3_Index_Match" sheetId="3" r:id="rId3"/>
    <sheet name="Q4_Correlation" sheetId="4" r:id="rId4"/>
    <sheet name="Q5_Hypothesis" sheetId="5" r:id="rId5"/>
    <sheet name="Q6_Regression" sheetId="6" r:id="rId6"/>
  </sheets>
  <definedNames>
    <definedName name="_xlnm._FilterDatabase" localSheetId="0" hidden="1">Q1_Sort_Filter!$A$13:$F$73</definedName>
    <definedName name="_xlnm._FilterDatabase" localSheetId="1" hidden="1">Q2_Aggregation!$A$13:$F$73</definedName>
    <definedName name="_xlnm._FilterDatabase" localSheetId="2" hidden="1">Q3_Index_Match!$A$19:$D$79</definedName>
    <definedName name="_xlnm._FilterDatabase" localSheetId="3" hidden="1">Q4_Correlation!$A$12:$E$72</definedName>
    <definedName name="_xlnm._FilterDatabase" localSheetId="4" hidden="1">Q5_Hypothesis!$A$32:$C$92</definedName>
    <definedName name="_xlnm._FilterDatabase" localSheetId="5" hidden="1">Q6_Regression!$A$14:$E$74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6" l="1"/>
  <c r="C8" i="6"/>
  <c r="C7" i="6"/>
  <c r="C5" i="6"/>
  <c r="C9" i="5"/>
  <c r="C8" i="5"/>
  <c r="C7" i="5"/>
  <c r="C6" i="5"/>
  <c r="C5" i="5"/>
  <c r="C7" i="4"/>
  <c r="C6" i="4"/>
  <c r="C5" i="4"/>
  <c r="C7" i="3"/>
  <c r="C6" i="3"/>
  <c r="C5" i="3"/>
  <c r="C9" i="2"/>
  <c r="C8" i="2"/>
  <c r="C7" i="2"/>
  <c r="C6" i="2"/>
  <c r="C5" i="2"/>
</calcChain>
</file>

<file path=xl/sharedStrings.xml><?xml version="1.0" encoding="utf-8"?>
<sst xmlns="http://schemas.openxmlformats.org/spreadsheetml/2006/main" count="1023" uniqueCount="160">
  <si>
    <t>Sorting &amp; Filtering</t>
  </si>
  <si>
    <t>Answer in the blue cells. Then sort and filter the data below — your questions and answers stay in place.</t>
  </si>
  <si>
    <t>#</t>
  </si>
  <si>
    <t>QUESTION</t>
  </si>
  <si>
    <t>YOUR ANSWER</t>
  </si>
  <si>
    <t>How many tickets are Priority P1?</t>
  </si>
  <si>
    <t>How many tickets belong to the Finance department?</t>
  </si>
  <si>
    <t>How many P1 tickets were handled by Tier 3?</t>
  </si>
  <si>
    <t>What is the longest resolution time (hours)?</t>
  </si>
  <si>
    <t>Filtering a table is like which SQL clause?</t>
  </si>
  <si>
    <t>WHERE</t>
  </si>
  <si>
    <t>Sorting a table is like which SQL clause?</t>
  </si>
  <si>
    <t>ORDER BY</t>
  </si>
  <si>
    <t>DATA — sort and filter freely below. The questions above will not move.</t>
  </si>
  <si>
    <t>TicketID</t>
  </si>
  <si>
    <t>Department</t>
  </si>
  <si>
    <t>Category</t>
  </si>
  <si>
    <t>Priority</t>
  </si>
  <si>
    <t>SupportTier</t>
  </si>
  <si>
    <t>ResolutionTimeHours</t>
  </si>
  <si>
    <t>INC-10001</t>
  </si>
  <si>
    <t>HR</t>
  </si>
  <si>
    <t>Access Request</t>
  </si>
  <si>
    <t>P2</t>
  </si>
  <si>
    <t>Tier 1</t>
  </si>
  <si>
    <t>INC-10006</t>
  </si>
  <si>
    <t>IT Operations</t>
  </si>
  <si>
    <t>Security</t>
  </si>
  <si>
    <t>P4</t>
  </si>
  <si>
    <t>Tier 3</t>
  </si>
  <si>
    <t>INC-10011</t>
  </si>
  <si>
    <t>Software Install</t>
  </si>
  <si>
    <t>INC-10016</t>
  </si>
  <si>
    <t>Engineering</t>
  </si>
  <si>
    <t>Password Reset</t>
  </si>
  <si>
    <t>INC-10021</t>
  </si>
  <si>
    <t>Sales</t>
  </si>
  <si>
    <t>INC-10026</t>
  </si>
  <si>
    <t>Server</t>
  </si>
  <si>
    <t>P3</t>
  </si>
  <si>
    <t>INC-10031</t>
  </si>
  <si>
    <t>Tier 2</t>
  </si>
  <si>
    <t>INC-10036</t>
  </si>
  <si>
    <t>INC-10041</t>
  </si>
  <si>
    <t>Finance</t>
  </si>
  <si>
    <t>INC-10046</t>
  </si>
  <si>
    <t>Marketing</t>
  </si>
  <si>
    <t>INC-10051</t>
  </si>
  <si>
    <t>P1</t>
  </si>
  <si>
    <t>INC-10056</t>
  </si>
  <si>
    <t>INC-10061</t>
  </si>
  <si>
    <t>INC-10066</t>
  </si>
  <si>
    <t>INC-10071</t>
  </si>
  <si>
    <t>INC-10076</t>
  </si>
  <si>
    <t>INC-10081</t>
  </si>
  <si>
    <t>INC-10086</t>
  </si>
  <si>
    <t>INC-10091</t>
  </si>
  <si>
    <t>INC-10096</t>
  </si>
  <si>
    <t>INC-10101</t>
  </si>
  <si>
    <t>INC-10106</t>
  </si>
  <si>
    <t>INC-10111</t>
  </si>
  <si>
    <t>INC-10116</t>
  </si>
  <si>
    <t>INC-10121</t>
  </si>
  <si>
    <t>INC-10126</t>
  </si>
  <si>
    <t>INC-10131</t>
  </si>
  <si>
    <t>INC-10136</t>
  </si>
  <si>
    <t>INC-10141</t>
  </si>
  <si>
    <t>INC-10146</t>
  </si>
  <si>
    <t>INC-10151</t>
  </si>
  <si>
    <t>INC-10156</t>
  </si>
  <si>
    <t>INC-10161</t>
  </si>
  <si>
    <t>INC-10166</t>
  </si>
  <si>
    <t>INC-10171</t>
  </si>
  <si>
    <t>INC-10176</t>
  </si>
  <si>
    <t>INC-10181</t>
  </si>
  <si>
    <t>Network</t>
  </si>
  <si>
    <t>INC-10186</t>
  </si>
  <si>
    <t>INC-10191</t>
  </si>
  <si>
    <t>INC-10196</t>
  </si>
  <si>
    <t>INC-10201</t>
  </si>
  <si>
    <t>INC-10206</t>
  </si>
  <si>
    <t>INC-10211</t>
  </si>
  <si>
    <t>INC-10216</t>
  </si>
  <si>
    <t>INC-10221</t>
  </si>
  <si>
    <t>INC-10226</t>
  </si>
  <si>
    <t>INC-10231</t>
  </si>
  <si>
    <t>INC-10236</t>
  </si>
  <si>
    <t>INC-10241</t>
  </si>
  <si>
    <t>INC-10246</t>
  </si>
  <si>
    <t>INC-10251</t>
  </si>
  <si>
    <t>INC-10256</t>
  </si>
  <si>
    <t>INC-10261</t>
  </si>
  <si>
    <t>INC-10266</t>
  </si>
  <si>
    <t>INC-10271</t>
  </si>
  <si>
    <t>INC-10276</t>
  </si>
  <si>
    <t>INC-10281</t>
  </si>
  <si>
    <t>INC-10286</t>
  </si>
  <si>
    <t>INC-10291</t>
  </si>
  <si>
    <t>INC-10296</t>
  </si>
  <si>
    <t>Aggregation — GROUP BY by hand</t>
  </si>
  <si>
    <t>A PivotTable summarizes. These formulas do the same thing, one cell at a time.</t>
  </si>
  <si>
    <t>Average resolution time for Tier 1 tickets</t>
  </si>
  <si>
    <t>Average resolution time for Tier 3 tickets</t>
  </si>
  <si>
    <t>Average satisfaction score, Pre-Upgrade</t>
  </si>
  <si>
    <t>Average satisfaction score, Post-Upgrade</t>
  </si>
  <si>
    <t>Total number of reopened tickets</t>
  </si>
  <si>
    <t>A PivotTable is like which SQL clause?</t>
  </si>
  <si>
    <t>GROUP BY</t>
  </si>
  <si>
    <t>Phase</t>
  </si>
  <si>
    <t>ReopenCount</t>
  </si>
  <si>
    <t>SatisfactionScore</t>
  </si>
  <si>
    <t>Pre-Upgrade</t>
  </si>
  <si>
    <t>Post-Upgrade</t>
  </si>
  <si>
    <t>INDEX / MATCH / MATCH</t>
  </si>
  <si>
    <t>The SLA target matrix sits just above the data. Priority runs down; SupportTier runs across.</t>
  </si>
  <si>
    <t>SLA target hours for a P1 ticket handled by Tier 3</t>
  </si>
  <si>
    <t>SLA target hours for a P3 ticket handled by Tier 1</t>
  </si>
  <si>
    <t>SLA target for the FIRST ticket in the data (row 20), using its Priority and Tier cells</t>
  </si>
  <si>
    <t>Name ONE reason VLOOKUP cannot solve this.</t>
  </si>
  <si>
    <t>It cannot search rows and columns at once</t>
  </si>
  <si>
    <t>SLA TARGET HOURS</t>
  </si>
  <si>
    <t>Priority \ Tier</t>
  </si>
  <si>
    <t>Correlation — diagnostic analytics</t>
  </si>
  <si>
    <t>Use CORREL on the data below. Then read questions 4 and 5 carefully.</t>
  </si>
  <si>
    <t>Correlation: TechExperienceYears vs ResolutionTimeHours</t>
  </si>
  <si>
    <t>Correlation: ResolutionTimeHours vs SatisfactionScore</t>
  </si>
  <si>
    <t>Correlation: IsInfrastructure vs ResolutionTimeHours</t>
  </si>
  <si>
    <t>The first correlation is positive. Does MORE experience CAUSE slower resolution? (Yes/No)</t>
  </si>
  <si>
    <t>No</t>
  </si>
  <si>
    <t>What do we call a hidden variable that distorts a relationship?</t>
  </si>
  <si>
    <t>Confounder</t>
  </si>
  <si>
    <t>TechExperienceYears</t>
  </si>
  <si>
    <t>IsInfrastructure</t>
  </si>
  <si>
    <t>Hypothesis Testing — z-test &amp; t-test</t>
  </si>
  <si>
    <t>Ticket data below (z-test). The portal pilot table sits just above it (t-test).</t>
  </si>
  <si>
    <t>Mean resolution time, Pre-Upgrade</t>
  </si>
  <si>
    <t>Mean resolution time, Post-Upgrade</t>
  </si>
  <si>
    <t>Mean task time, OLD portal (seconds)</t>
  </si>
  <si>
    <t>Mean task time, NEW portal (seconds)</t>
  </si>
  <si>
    <t>p-value: two-sample t-test, two-tail, unequal variance</t>
  </si>
  <si>
    <t>Why a t-test rather than a z-test here?</t>
  </si>
  <si>
    <t>Small sample, unknown population SD</t>
  </si>
  <si>
    <t>At alpha = 0.05, is the difference significant? (Yes/No)</t>
  </si>
  <si>
    <t>Yes</t>
  </si>
  <si>
    <t>PORTAL PILOT — task time (seconds)</t>
  </si>
  <si>
    <t>OldPortal</t>
  </si>
  <si>
    <t>NewPortal</t>
  </si>
  <si>
    <t>Regression — predictive analytics</t>
  </si>
  <si>
    <t>Predict ResolutionTimeHours. Your predictors are PriorityScore, TechExperienceYears, IsInfrastructure.</t>
  </si>
  <si>
    <t>SIMPLE regression slope: ResolutionTime on TechExperienceYears alone</t>
  </si>
  <si>
    <t>Is that simple slope Positive or Negative?</t>
  </si>
  <si>
    <t>Positive</t>
  </si>
  <si>
    <t>R-squared of that simple regression</t>
  </si>
  <si>
    <t>MULTIPLE regression coefficient on TechExperienceYears</t>
  </si>
  <si>
    <t>Is that multiple-regression coefficient Positive or Negative?</t>
  </si>
  <si>
    <t>Negative</t>
  </si>
  <si>
    <t>Coefficient on IsInfrastructure</t>
  </si>
  <si>
    <t>Why did the sign on experience FLIP between the two models?</t>
  </si>
  <si>
    <t>Hard infrastructure tickets go to experienced techs</t>
  </si>
  <si>
    <t>PriorityScore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</si>
</sst>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5"/>
      <color rgb="FF1F3864"/>
      <name val="Calibri"/>
      <family val="2"/>
    </font>
    <font>
      <i/>
      <sz val="10"/>
      <color rgb="FF5C6883"/>
      <name val="Calibri"/>
      <family val="2"/>
    </font>
    <font>
      <b/>
      <sz val="10"/>
      <color rgb="FFFFFFFF"/>
      <name val="Calibri"/>
      <family val="2"/>
    </font>
    <font>
      <b/>
      <sz val="11"/>
      <color rgb="FF1F3864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1F3864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B0F0"/>
        <bgColor rgb="FF33CC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0" fontId="8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883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zoomScaleNormal="100" workbookViewId="0">
      <pane ySplit="13" topLeftCell="A14" activePane="bottomLeft" state="frozen"/>
      <selection pane="bottomLeft" activeCell="C9" sqref="C9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  <col min="4" max="4" width="12" customWidth="1"/>
    <col min="5" max="5" width="13" customWidth="1"/>
    <col min="6" max="6" width="21" customWidth="1"/>
  </cols>
  <sheetData>
    <row r="1" spans="1:6" ht="20" x14ac:dyDescent="0.25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3" t="s">
        <v>3</v>
      </c>
      <c r="C4" s="4" t="s">
        <v>4</v>
      </c>
    </row>
    <row r="5" spans="1:6" ht="30" customHeight="1" x14ac:dyDescent="0.2">
      <c r="A5" s="5">
        <v>1</v>
      </c>
      <c r="B5" s="6" t="s">
        <v>5</v>
      </c>
      <c r="C5" s="7">
        <v>11</v>
      </c>
    </row>
    <row r="6" spans="1:6" ht="30" customHeight="1" x14ac:dyDescent="0.2">
      <c r="A6" s="5">
        <v>2</v>
      </c>
      <c r="B6" s="6" t="s">
        <v>6</v>
      </c>
      <c r="C6" s="7">
        <v>12</v>
      </c>
    </row>
    <row r="7" spans="1:6" ht="30" customHeight="1" x14ac:dyDescent="0.2">
      <c r="A7" s="5">
        <v>3</v>
      </c>
      <c r="B7" s="6" t="s">
        <v>7</v>
      </c>
      <c r="C7" s="7">
        <v>9</v>
      </c>
    </row>
    <row r="8" spans="1:6" ht="30" customHeight="1" x14ac:dyDescent="0.2">
      <c r="A8" s="5">
        <v>4</v>
      </c>
      <c r="B8" s="6" t="s">
        <v>8</v>
      </c>
      <c r="C8" s="7">
        <v>10.8</v>
      </c>
    </row>
    <row r="9" spans="1:6" ht="30" customHeight="1" x14ac:dyDescent="0.2">
      <c r="A9" s="5">
        <v>5</v>
      </c>
      <c r="B9" s="6" t="s">
        <v>9</v>
      </c>
      <c r="C9" s="7" t="s">
        <v>10</v>
      </c>
    </row>
    <row r="10" spans="1:6" ht="30" customHeight="1" x14ac:dyDescent="0.2">
      <c r="A10" s="5">
        <v>6</v>
      </c>
      <c r="B10" s="6" t="s">
        <v>11</v>
      </c>
      <c r="C10" s="7" t="s">
        <v>12</v>
      </c>
    </row>
    <row r="12" spans="1:6" x14ac:dyDescent="0.2">
      <c r="A12" s="2" t="s">
        <v>13</v>
      </c>
    </row>
    <row r="13" spans="1:6" x14ac:dyDescent="0.2">
      <c r="A13" s="8" t="s">
        <v>14</v>
      </c>
      <c r="B13" s="8" t="s">
        <v>15</v>
      </c>
      <c r="C13" s="8" t="s">
        <v>16</v>
      </c>
      <c r="D13" s="8" t="s">
        <v>17</v>
      </c>
      <c r="E13" s="8" t="s">
        <v>18</v>
      </c>
      <c r="F13" s="8" t="s">
        <v>19</v>
      </c>
    </row>
    <row r="14" spans="1:6" x14ac:dyDescent="0.2">
      <c r="A14" s="9" t="s">
        <v>20</v>
      </c>
      <c r="B14" s="9" t="s">
        <v>21</v>
      </c>
      <c r="C14" s="9" t="s">
        <v>22</v>
      </c>
      <c r="D14" s="9" t="s">
        <v>23</v>
      </c>
      <c r="E14" s="9" t="s">
        <v>24</v>
      </c>
      <c r="F14" s="10">
        <v>4.41</v>
      </c>
    </row>
    <row r="15" spans="1:6" x14ac:dyDescent="0.2">
      <c r="A15" s="9" t="s">
        <v>25</v>
      </c>
      <c r="B15" s="9" t="s">
        <v>26</v>
      </c>
      <c r="C15" s="9" t="s">
        <v>27</v>
      </c>
      <c r="D15" s="9" t="s">
        <v>28</v>
      </c>
      <c r="E15" s="9" t="s">
        <v>29</v>
      </c>
      <c r="F15" s="10">
        <v>8.94</v>
      </c>
    </row>
    <row r="16" spans="1:6" x14ac:dyDescent="0.2">
      <c r="A16" s="9" t="s">
        <v>30</v>
      </c>
      <c r="B16" s="9" t="s">
        <v>26</v>
      </c>
      <c r="C16" s="9" t="s">
        <v>31</v>
      </c>
      <c r="D16" s="9" t="s">
        <v>28</v>
      </c>
      <c r="E16" s="9" t="s">
        <v>24</v>
      </c>
      <c r="F16" s="10">
        <v>3.54</v>
      </c>
    </row>
    <row r="17" spans="1:6" x14ac:dyDescent="0.2">
      <c r="A17" s="9" t="s">
        <v>32</v>
      </c>
      <c r="B17" s="9" t="s">
        <v>33</v>
      </c>
      <c r="C17" s="9" t="s">
        <v>34</v>
      </c>
      <c r="D17" s="9" t="s">
        <v>28</v>
      </c>
      <c r="E17" s="9" t="s">
        <v>24</v>
      </c>
      <c r="F17" s="10">
        <v>4.7300000000000004</v>
      </c>
    </row>
    <row r="18" spans="1:6" x14ac:dyDescent="0.2">
      <c r="A18" s="9" t="s">
        <v>35</v>
      </c>
      <c r="B18" s="9" t="s">
        <v>36</v>
      </c>
      <c r="C18" s="9" t="s">
        <v>34</v>
      </c>
      <c r="D18" s="9" t="s">
        <v>23</v>
      </c>
      <c r="E18" s="9" t="s">
        <v>24</v>
      </c>
      <c r="F18" s="10">
        <v>5.32</v>
      </c>
    </row>
    <row r="19" spans="1:6" x14ac:dyDescent="0.2">
      <c r="A19" s="9" t="s">
        <v>37</v>
      </c>
      <c r="B19" s="9" t="s">
        <v>21</v>
      </c>
      <c r="C19" s="9" t="s">
        <v>38</v>
      </c>
      <c r="D19" s="9" t="s">
        <v>39</v>
      </c>
      <c r="E19" s="9" t="s">
        <v>29</v>
      </c>
      <c r="F19" s="10">
        <v>10.77</v>
      </c>
    </row>
    <row r="20" spans="1:6" x14ac:dyDescent="0.2">
      <c r="A20" s="9" t="s">
        <v>40</v>
      </c>
      <c r="B20" s="9" t="s">
        <v>33</v>
      </c>
      <c r="C20" s="9" t="s">
        <v>22</v>
      </c>
      <c r="D20" s="9" t="s">
        <v>28</v>
      </c>
      <c r="E20" s="9" t="s">
        <v>41</v>
      </c>
      <c r="F20" s="10">
        <v>4.4400000000000004</v>
      </c>
    </row>
    <row r="21" spans="1:6" x14ac:dyDescent="0.2">
      <c r="A21" s="9" t="s">
        <v>42</v>
      </c>
      <c r="B21" s="9" t="s">
        <v>26</v>
      </c>
      <c r="C21" s="9" t="s">
        <v>22</v>
      </c>
      <c r="D21" s="9" t="s">
        <v>39</v>
      </c>
      <c r="E21" s="9" t="s">
        <v>24</v>
      </c>
      <c r="F21" s="10">
        <v>2.11</v>
      </c>
    </row>
    <row r="22" spans="1:6" x14ac:dyDescent="0.2">
      <c r="A22" s="9" t="s">
        <v>43</v>
      </c>
      <c r="B22" s="9" t="s">
        <v>44</v>
      </c>
      <c r="C22" s="9" t="s">
        <v>38</v>
      </c>
      <c r="D22" s="9" t="s">
        <v>23</v>
      </c>
      <c r="E22" s="9" t="s">
        <v>29</v>
      </c>
      <c r="F22" s="10">
        <v>5.6</v>
      </c>
    </row>
    <row r="23" spans="1:6" x14ac:dyDescent="0.2">
      <c r="A23" s="9" t="s">
        <v>45</v>
      </c>
      <c r="B23" s="9" t="s">
        <v>46</v>
      </c>
      <c r="C23" s="9" t="s">
        <v>27</v>
      </c>
      <c r="D23" s="9" t="s">
        <v>23</v>
      </c>
      <c r="E23" s="9" t="s">
        <v>29</v>
      </c>
      <c r="F23" s="10">
        <v>6.36</v>
      </c>
    </row>
    <row r="24" spans="1:6" x14ac:dyDescent="0.2">
      <c r="A24" s="9" t="s">
        <v>47</v>
      </c>
      <c r="B24" s="9" t="s">
        <v>33</v>
      </c>
      <c r="C24" s="9" t="s">
        <v>27</v>
      </c>
      <c r="D24" s="9" t="s">
        <v>48</v>
      </c>
      <c r="E24" s="9" t="s">
        <v>29</v>
      </c>
      <c r="F24" s="10">
        <v>7.65</v>
      </c>
    </row>
    <row r="25" spans="1:6" x14ac:dyDescent="0.2">
      <c r="A25" s="9" t="s">
        <v>49</v>
      </c>
      <c r="B25" s="9" t="s">
        <v>44</v>
      </c>
      <c r="C25" s="9" t="s">
        <v>22</v>
      </c>
      <c r="D25" s="9" t="s">
        <v>23</v>
      </c>
      <c r="E25" s="9" t="s">
        <v>41</v>
      </c>
      <c r="F25" s="10">
        <v>5.0199999999999996</v>
      </c>
    </row>
    <row r="26" spans="1:6" x14ac:dyDescent="0.2">
      <c r="A26" s="9" t="s">
        <v>50</v>
      </c>
      <c r="B26" s="9" t="s">
        <v>44</v>
      </c>
      <c r="C26" s="9" t="s">
        <v>22</v>
      </c>
      <c r="D26" s="9" t="s">
        <v>39</v>
      </c>
      <c r="E26" s="9" t="s">
        <v>41</v>
      </c>
      <c r="F26" s="10">
        <v>2.95</v>
      </c>
    </row>
    <row r="27" spans="1:6" x14ac:dyDescent="0.2">
      <c r="A27" s="9" t="s">
        <v>51</v>
      </c>
      <c r="B27" s="9" t="s">
        <v>46</v>
      </c>
      <c r="C27" s="9" t="s">
        <v>27</v>
      </c>
      <c r="D27" s="9" t="s">
        <v>23</v>
      </c>
      <c r="E27" s="9" t="s">
        <v>29</v>
      </c>
      <c r="F27" s="10">
        <v>7.73</v>
      </c>
    </row>
    <row r="28" spans="1:6" x14ac:dyDescent="0.2">
      <c r="A28" s="9" t="s">
        <v>52</v>
      </c>
      <c r="B28" s="9" t="s">
        <v>46</v>
      </c>
      <c r="C28" s="9" t="s">
        <v>38</v>
      </c>
      <c r="D28" s="9" t="s">
        <v>48</v>
      </c>
      <c r="E28" s="9" t="s">
        <v>29</v>
      </c>
      <c r="F28" s="10">
        <v>8.1199999999999992</v>
      </c>
    </row>
    <row r="29" spans="1:6" x14ac:dyDescent="0.2">
      <c r="A29" s="9" t="s">
        <v>53</v>
      </c>
      <c r="B29" s="9" t="s">
        <v>33</v>
      </c>
      <c r="C29" s="9" t="s">
        <v>31</v>
      </c>
      <c r="D29" s="9" t="s">
        <v>39</v>
      </c>
      <c r="E29" s="9" t="s">
        <v>24</v>
      </c>
      <c r="F29" s="10">
        <v>4.01</v>
      </c>
    </row>
    <row r="30" spans="1:6" x14ac:dyDescent="0.2">
      <c r="A30" s="9" t="s">
        <v>54</v>
      </c>
      <c r="B30" s="9" t="s">
        <v>21</v>
      </c>
      <c r="C30" s="9" t="s">
        <v>38</v>
      </c>
      <c r="D30" s="9" t="s">
        <v>48</v>
      </c>
      <c r="E30" s="9" t="s">
        <v>29</v>
      </c>
      <c r="F30" s="10">
        <v>4.38</v>
      </c>
    </row>
    <row r="31" spans="1:6" x14ac:dyDescent="0.2">
      <c r="A31" s="9" t="s">
        <v>55</v>
      </c>
      <c r="B31" s="9" t="s">
        <v>44</v>
      </c>
      <c r="C31" s="9" t="s">
        <v>27</v>
      </c>
      <c r="D31" s="9" t="s">
        <v>23</v>
      </c>
      <c r="E31" s="9" t="s">
        <v>29</v>
      </c>
      <c r="F31" s="10">
        <v>9.0399999999999991</v>
      </c>
    </row>
    <row r="32" spans="1:6" x14ac:dyDescent="0.2">
      <c r="A32" s="9" t="s">
        <v>56</v>
      </c>
      <c r="B32" s="9" t="s">
        <v>36</v>
      </c>
      <c r="C32" s="9" t="s">
        <v>38</v>
      </c>
      <c r="D32" s="9" t="s">
        <v>28</v>
      </c>
      <c r="E32" s="9" t="s">
        <v>41</v>
      </c>
      <c r="F32" s="10">
        <v>9.92</v>
      </c>
    </row>
    <row r="33" spans="1:6" x14ac:dyDescent="0.2">
      <c r="A33" s="9" t="s">
        <v>57</v>
      </c>
      <c r="B33" s="9" t="s">
        <v>21</v>
      </c>
      <c r="C33" s="9" t="s">
        <v>38</v>
      </c>
      <c r="D33" s="9" t="s">
        <v>23</v>
      </c>
      <c r="E33" s="9" t="s">
        <v>29</v>
      </c>
      <c r="F33" s="10">
        <v>7.06</v>
      </c>
    </row>
    <row r="34" spans="1:6" x14ac:dyDescent="0.2">
      <c r="A34" s="9" t="s">
        <v>58</v>
      </c>
      <c r="B34" s="9" t="s">
        <v>36</v>
      </c>
      <c r="C34" s="9" t="s">
        <v>31</v>
      </c>
      <c r="D34" s="9" t="s">
        <v>39</v>
      </c>
      <c r="E34" s="9" t="s">
        <v>41</v>
      </c>
      <c r="F34" s="10">
        <v>2.92</v>
      </c>
    </row>
    <row r="35" spans="1:6" x14ac:dyDescent="0.2">
      <c r="A35" s="9" t="s">
        <v>59</v>
      </c>
      <c r="B35" s="9" t="s">
        <v>21</v>
      </c>
      <c r="C35" s="9" t="s">
        <v>34</v>
      </c>
      <c r="D35" s="9" t="s">
        <v>28</v>
      </c>
      <c r="E35" s="9" t="s">
        <v>24</v>
      </c>
      <c r="F35" s="10">
        <v>3.13</v>
      </c>
    </row>
    <row r="36" spans="1:6" x14ac:dyDescent="0.2">
      <c r="A36" s="9" t="s">
        <v>60</v>
      </c>
      <c r="B36" s="9" t="s">
        <v>26</v>
      </c>
      <c r="C36" s="9" t="s">
        <v>34</v>
      </c>
      <c r="D36" s="9" t="s">
        <v>28</v>
      </c>
      <c r="E36" s="9" t="s">
        <v>24</v>
      </c>
      <c r="F36" s="10">
        <v>4.17</v>
      </c>
    </row>
    <row r="37" spans="1:6" x14ac:dyDescent="0.2">
      <c r="A37" s="9" t="s">
        <v>61</v>
      </c>
      <c r="B37" s="9" t="s">
        <v>46</v>
      </c>
      <c r="C37" s="9" t="s">
        <v>31</v>
      </c>
      <c r="D37" s="9" t="s">
        <v>23</v>
      </c>
      <c r="E37" s="9" t="s">
        <v>24</v>
      </c>
      <c r="F37" s="10">
        <v>1.54</v>
      </c>
    </row>
    <row r="38" spans="1:6" x14ac:dyDescent="0.2">
      <c r="A38" s="9" t="s">
        <v>62</v>
      </c>
      <c r="B38" s="9" t="s">
        <v>46</v>
      </c>
      <c r="C38" s="9" t="s">
        <v>22</v>
      </c>
      <c r="D38" s="9" t="s">
        <v>23</v>
      </c>
      <c r="E38" s="9" t="s">
        <v>24</v>
      </c>
      <c r="F38" s="10">
        <v>2.59</v>
      </c>
    </row>
    <row r="39" spans="1:6" x14ac:dyDescent="0.2">
      <c r="A39" s="9" t="s">
        <v>63</v>
      </c>
      <c r="B39" s="9" t="s">
        <v>44</v>
      </c>
      <c r="C39" s="9" t="s">
        <v>38</v>
      </c>
      <c r="D39" s="9" t="s">
        <v>23</v>
      </c>
      <c r="E39" s="9" t="s">
        <v>29</v>
      </c>
      <c r="F39" s="10">
        <v>6.42</v>
      </c>
    </row>
    <row r="40" spans="1:6" x14ac:dyDescent="0.2">
      <c r="A40" s="9" t="s">
        <v>64</v>
      </c>
      <c r="B40" s="9" t="s">
        <v>21</v>
      </c>
      <c r="C40" s="9" t="s">
        <v>22</v>
      </c>
      <c r="D40" s="9" t="s">
        <v>39</v>
      </c>
      <c r="E40" s="9" t="s">
        <v>24</v>
      </c>
      <c r="F40" s="10">
        <v>0.61</v>
      </c>
    </row>
    <row r="41" spans="1:6" x14ac:dyDescent="0.2">
      <c r="A41" s="9" t="s">
        <v>65</v>
      </c>
      <c r="B41" s="9" t="s">
        <v>36</v>
      </c>
      <c r="C41" s="9" t="s">
        <v>38</v>
      </c>
      <c r="D41" s="9" t="s">
        <v>48</v>
      </c>
      <c r="E41" s="9" t="s">
        <v>29</v>
      </c>
      <c r="F41" s="10">
        <v>6.51</v>
      </c>
    </row>
    <row r="42" spans="1:6" x14ac:dyDescent="0.2">
      <c r="A42" s="9" t="s">
        <v>66</v>
      </c>
      <c r="B42" s="9" t="s">
        <v>33</v>
      </c>
      <c r="C42" s="9" t="s">
        <v>34</v>
      </c>
      <c r="D42" s="9" t="s">
        <v>23</v>
      </c>
      <c r="E42" s="9" t="s">
        <v>41</v>
      </c>
      <c r="F42" s="10">
        <v>5.39</v>
      </c>
    </row>
    <row r="43" spans="1:6" x14ac:dyDescent="0.2">
      <c r="A43" s="9" t="s">
        <v>67</v>
      </c>
      <c r="B43" s="9" t="s">
        <v>36</v>
      </c>
      <c r="C43" s="9" t="s">
        <v>31</v>
      </c>
      <c r="D43" s="9" t="s">
        <v>39</v>
      </c>
      <c r="E43" s="9" t="s">
        <v>24</v>
      </c>
      <c r="F43" s="10">
        <v>5.35</v>
      </c>
    </row>
    <row r="44" spans="1:6" x14ac:dyDescent="0.2">
      <c r="A44" s="9" t="s">
        <v>68</v>
      </c>
      <c r="B44" s="9" t="s">
        <v>44</v>
      </c>
      <c r="C44" s="9" t="s">
        <v>31</v>
      </c>
      <c r="D44" s="9" t="s">
        <v>28</v>
      </c>
      <c r="E44" s="9" t="s">
        <v>24</v>
      </c>
      <c r="F44" s="10">
        <v>1.4</v>
      </c>
    </row>
    <row r="45" spans="1:6" x14ac:dyDescent="0.2">
      <c r="A45" s="9" t="s">
        <v>69</v>
      </c>
      <c r="B45" s="9" t="s">
        <v>46</v>
      </c>
      <c r="C45" s="9" t="s">
        <v>31</v>
      </c>
      <c r="D45" s="9" t="s">
        <v>39</v>
      </c>
      <c r="E45" s="9" t="s">
        <v>41</v>
      </c>
      <c r="F45" s="10">
        <v>0.39</v>
      </c>
    </row>
    <row r="46" spans="1:6" x14ac:dyDescent="0.2">
      <c r="A46" s="9" t="s">
        <v>70</v>
      </c>
      <c r="B46" s="9" t="s">
        <v>46</v>
      </c>
      <c r="C46" s="9" t="s">
        <v>22</v>
      </c>
      <c r="D46" s="9" t="s">
        <v>39</v>
      </c>
      <c r="E46" s="9" t="s">
        <v>24</v>
      </c>
      <c r="F46" s="10">
        <v>5.0999999999999996</v>
      </c>
    </row>
    <row r="47" spans="1:6" x14ac:dyDescent="0.2">
      <c r="A47" s="9" t="s">
        <v>71</v>
      </c>
      <c r="B47" s="9" t="s">
        <v>44</v>
      </c>
      <c r="C47" s="9" t="s">
        <v>27</v>
      </c>
      <c r="D47" s="9" t="s">
        <v>39</v>
      </c>
      <c r="E47" s="9" t="s">
        <v>29</v>
      </c>
      <c r="F47" s="10">
        <v>6.77</v>
      </c>
    </row>
    <row r="48" spans="1:6" x14ac:dyDescent="0.2">
      <c r="A48" s="9" t="s">
        <v>72</v>
      </c>
      <c r="B48" s="9" t="s">
        <v>46</v>
      </c>
      <c r="C48" s="9" t="s">
        <v>22</v>
      </c>
      <c r="D48" s="9" t="s">
        <v>39</v>
      </c>
      <c r="E48" s="9" t="s">
        <v>41</v>
      </c>
      <c r="F48" s="10">
        <v>1.1399999999999999</v>
      </c>
    </row>
    <row r="49" spans="1:6" x14ac:dyDescent="0.2">
      <c r="A49" s="9" t="s">
        <v>73</v>
      </c>
      <c r="B49" s="9" t="s">
        <v>26</v>
      </c>
      <c r="C49" s="9" t="s">
        <v>22</v>
      </c>
      <c r="D49" s="9" t="s">
        <v>39</v>
      </c>
      <c r="E49" s="9" t="s">
        <v>24</v>
      </c>
      <c r="F49" s="10">
        <v>4.6900000000000004</v>
      </c>
    </row>
    <row r="50" spans="1:6" x14ac:dyDescent="0.2">
      <c r="A50" s="9" t="s">
        <v>74</v>
      </c>
      <c r="B50" s="9" t="s">
        <v>44</v>
      </c>
      <c r="C50" s="9" t="s">
        <v>75</v>
      </c>
      <c r="D50" s="9" t="s">
        <v>23</v>
      </c>
      <c r="E50" s="9" t="s">
        <v>29</v>
      </c>
      <c r="F50" s="10">
        <v>7.06</v>
      </c>
    </row>
    <row r="51" spans="1:6" x14ac:dyDescent="0.2">
      <c r="A51" s="9" t="s">
        <v>76</v>
      </c>
      <c r="B51" s="9" t="s">
        <v>44</v>
      </c>
      <c r="C51" s="9" t="s">
        <v>31</v>
      </c>
      <c r="D51" s="9" t="s">
        <v>48</v>
      </c>
      <c r="E51" s="9" t="s">
        <v>41</v>
      </c>
      <c r="F51" s="10">
        <v>0.3</v>
      </c>
    </row>
    <row r="52" spans="1:6" x14ac:dyDescent="0.2">
      <c r="A52" s="9" t="s">
        <v>77</v>
      </c>
      <c r="B52" s="9" t="s">
        <v>36</v>
      </c>
      <c r="C52" s="9" t="s">
        <v>75</v>
      </c>
      <c r="D52" s="9" t="s">
        <v>39</v>
      </c>
      <c r="E52" s="9" t="s">
        <v>41</v>
      </c>
      <c r="F52" s="10">
        <v>5.26</v>
      </c>
    </row>
    <row r="53" spans="1:6" x14ac:dyDescent="0.2">
      <c r="A53" s="9" t="s">
        <v>78</v>
      </c>
      <c r="B53" s="9" t="s">
        <v>26</v>
      </c>
      <c r="C53" s="9" t="s">
        <v>34</v>
      </c>
      <c r="D53" s="9" t="s">
        <v>28</v>
      </c>
      <c r="E53" s="9" t="s">
        <v>24</v>
      </c>
      <c r="F53" s="10">
        <v>5.64</v>
      </c>
    </row>
    <row r="54" spans="1:6" x14ac:dyDescent="0.2">
      <c r="A54" s="9" t="s">
        <v>79</v>
      </c>
      <c r="B54" s="9" t="s">
        <v>46</v>
      </c>
      <c r="C54" s="9" t="s">
        <v>31</v>
      </c>
      <c r="D54" s="9" t="s">
        <v>28</v>
      </c>
      <c r="E54" s="9" t="s">
        <v>24</v>
      </c>
      <c r="F54" s="10">
        <v>2.14</v>
      </c>
    </row>
    <row r="55" spans="1:6" x14ac:dyDescent="0.2">
      <c r="A55" s="9" t="s">
        <v>80</v>
      </c>
      <c r="B55" s="9" t="s">
        <v>44</v>
      </c>
      <c r="C55" s="9" t="s">
        <v>38</v>
      </c>
      <c r="D55" s="9" t="s">
        <v>48</v>
      </c>
      <c r="E55" s="9" t="s">
        <v>29</v>
      </c>
      <c r="F55" s="10">
        <v>3.45</v>
      </c>
    </row>
    <row r="56" spans="1:6" x14ac:dyDescent="0.2">
      <c r="A56" s="9" t="s">
        <v>81</v>
      </c>
      <c r="B56" s="9" t="s">
        <v>46</v>
      </c>
      <c r="C56" s="9" t="s">
        <v>31</v>
      </c>
      <c r="D56" s="9" t="s">
        <v>23</v>
      </c>
      <c r="E56" s="9" t="s">
        <v>24</v>
      </c>
      <c r="F56" s="10">
        <v>3.4</v>
      </c>
    </row>
    <row r="57" spans="1:6" x14ac:dyDescent="0.2">
      <c r="A57" s="9" t="s">
        <v>82</v>
      </c>
      <c r="B57" s="9" t="s">
        <v>36</v>
      </c>
      <c r="C57" s="9" t="s">
        <v>31</v>
      </c>
      <c r="D57" s="9" t="s">
        <v>48</v>
      </c>
      <c r="E57" s="9" t="s">
        <v>24</v>
      </c>
      <c r="F57" s="10">
        <v>1.93</v>
      </c>
    </row>
    <row r="58" spans="1:6" x14ac:dyDescent="0.2">
      <c r="A58" s="9" t="s">
        <v>83</v>
      </c>
      <c r="B58" s="9" t="s">
        <v>33</v>
      </c>
      <c r="C58" s="9" t="s">
        <v>38</v>
      </c>
      <c r="D58" s="9" t="s">
        <v>23</v>
      </c>
      <c r="E58" s="9" t="s">
        <v>29</v>
      </c>
      <c r="F58" s="9">
        <v>5</v>
      </c>
    </row>
    <row r="59" spans="1:6" x14ac:dyDescent="0.2">
      <c r="A59" s="9" t="s">
        <v>84</v>
      </c>
      <c r="B59" s="9" t="s">
        <v>36</v>
      </c>
      <c r="C59" s="9" t="s">
        <v>31</v>
      </c>
      <c r="D59" s="9" t="s">
        <v>39</v>
      </c>
      <c r="E59" s="9" t="s">
        <v>24</v>
      </c>
      <c r="F59" s="10">
        <v>5.53</v>
      </c>
    </row>
    <row r="60" spans="1:6" x14ac:dyDescent="0.2">
      <c r="A60" s="9" t="s">
        <v>85</v>
      </c>
      <c r="B60" s="9" t="s">
        <v>46</v>
      </c>
      <c r="C60" s="9" t="s">
        <v>31</v>
      </c>
      <c r="D60" s="9" t="s">
        <v>39</v>
      </c>
      <c r="E60" s="9" t="s">
        <v>41</v>
      </c>
      <c r="F60" s="10">
        <v>1.32</v>
      </c>
    </row>
    <row r="61" spans="1:6" x14ac:dyDescent="0.2">
      <c r="A61" s="9" t="s">
        <v>86</v>
      </c>
      <c r="B61" s="9" t="s">
        <v>46</v>
      </c>
      <c r="C61" s="9" t="s">
        <v>75</v>
      </c>
      <c r="D61" s="9" t="s">
        <v>48</v>
      </c>
      <c r="E61" s="9" t="s">
        <v>29</v>
      </c>
      <c r="F61" s="10">
        <v>2.69</v>
      </c>
    </row>
    <row r="62" spans="1:6" x14ac:dyDescent="0.2">
      <c r="A62" s="9" t="s">
        <v>87</v>
      </c>
      <c r="B62" s="9" t="s">
        <v>44</v>
      </c>
      <c r="C62" s="9" t="s">
        <v>75</v>
      </c>
      <c r="D62" s="9" t="s">
        <v>39</v>
      </c>
      <c r="E62" s="9" t="s">
        <v>29</v>
      </c>
      <c r="F62" s="10">
        <v>9.57</v>
      </c>
    </row>
    <row r="63" spans="1:6" x14ac:dyDescent="0.2">
      <c r="A63" s="9" t="s">
        <v>88</v>
      </c>
      <c r="B63" s="9" t="s">
        <v>44</v>
      </c>
      <c r="C63" s="9" t="s">
        <v>34</v>
      </c>
      <c r="D63" s="9" t="s">
        <v>48</v>
      </c>
      <c r="E63" s="9" t="s">
        <v>29</v>
      </c>
      <c r="F63" s="10">
        <v>2.52</v>
      </c>
    </row>
    <row r="64" spans="1:6" x14ac:dyDescent="0.2">
      <c r="A64" s="9" t="s">
        <v>89</v>
      </c>
      <c r="B64" s="9" t="s">
        <v>26</v>
      </c>
      <c r="C64" s="9" t="s">
        <v>22</v>
      </c>
      <c r="D64" s="9" t="s">
        <v>28</v>
      </c>
      <c r="E64" s="9" t="s">
        <v>24</v>
      </c>
      <c r="F64" s="10">
        <v>2.77</v>
      </c>
    </row>
    <row r="65" spans="1:6" x14ac:dyDescent="0.2">
      <c r="A65" s="9" t="s">
        <v>90</v>
      </c>
      <c r="B65" s="9" t="s">
        <v>46</v>
      </c>
      <c r="C65" s="9" t="s">
        <v>34</v>
      </c>
      <c r="D65" s="9" t="s">
        <v>39</v>
      </c>
      <c r="E65" s="9" t="s">
        <v>41</v>
      </c>
      <c r="F65" s="10">
        <v>2.21</v>
      </c>
    </row>
    <row r="66" spans="1:6" x14ac:dyDescent="0.2">
      <c r="A66" s="9" t="s">
        <v>91</v>
      </c>
      <c r="B66" s="9" t="s">
        <v>46</v>
      </c>
      <c r="C66" s="9" t="s">
        <v>34</v>
      </c>
      <c r="D66" s="9" t="s">
        <v>23</v>
      </c>
      <c r="E66" s="9" t="s">
        <v>24</v>
      </c>
      <c r="F66" s="10">
        <v>2.2000000000000002</v>
      </c>
    </row>
    <row r="67" spans="1:6" x14ac:dyDescent="0.2">
      <c r="A67" s="9" t="s">
        <v>92</v>
      </c>
      <c r="B67" s="9" t="s">
        <v>46</v>
      </c>
      <c r="C67" s="9" t="s">
        <v>27</v>
      </c>
      <c r="D67" s="9" t="s">
        <v>23</v>
      </c>
      <c r="E67" s="9" t="s">
        <v>29</v>
      </c>
      <c r="F67" s="10">
        <v>6.35</v>
      </c>
    </row>
    <row r="68" spans="1:6" x14ac:dyDescent="0.2">
      <c r="A68" s="9" t="s">
        <v>93</v>
      </c>
      <c r="B68" s="9" t="s">
        <v>46</v>
      </c>
      <c r="C68" s="9" t="s">
        <v>27</v>
      </c>
      <c r="D68" s="9" t="s">
        <v>48</v>
      </c>
      <c r="E68" s="9" t="s">
        <v>29</v>
      </c>
      <c r="F68" s="10">
        <v>1.66</v>
      </c>
    </row>
    <row r="69" spans="1:6" x14ac:dyDescent="0.2">
      <c r="A69" s="9" t="s">
        <v>94</v>
      </c>
      <c r="B69" s="9" t="s">
        <v>46</v>
      </c>
      <c r="C69" s="9" t="s">
        <v>34</v>
      </c>
      <c r="D69" s="9" t="s">
        <v>28</v>
      </c>
      <c r="E69" s="9" t="s">
        <v>24</v>
      </c>
      <c r="F69" s="10">
        <v>5.98</v>
      </c>
    </row>
    <row r="70" spans="1:6" x14ac:dyDescent="0.2">
      <c r="A70" s="9" t="s">
        <v>95</v>
      </c>
      <c r="B70" s="9" t="s">
        <v>36</v>
      </c>
      <c r="C70" s="9" t="s">
        <v>75</v>
      </c>
      <c r="D70" s="9" t="s">
        <v>39</v>
      </c>
      <c r="E70" s="9" t="s">
        <v>29</v>
      </c>
      <c r="F70" s="10">
        <v>4.3</v>
      </c>
    </row>
    <row r="71" spans="1:6" x14ac:dyDescent="0.2">
      <c r="A71" s="9" t="s">
        <v>96</v>
      </c>
      <c r="B71" s="9" t="s">
        <v>36</v>
      </c>
      <c r="C71" s="9" t="s">
        <v>38</v>
      </c>
      <c r="D71" s="9" t="s">
        <v>48</v>
      </c>
      <c r="E71" s="9" t="s">
        <v>29</v>
      </c>
      <c r="F71" s="10">
        <v>3.97</v>
      </c>
    </row>
    <row r="72" spans="1:6" x14ac:dyDescent="0.2">
      <c r="A72" s="9" t="s">
        <v>97</v>
      </c>
      <c r="B72" s="9" t="s">
        <v>46</v>
      </c>
      <c r="C72" s="9" t="s">
        <v>34</v>
      </c>
      <c r="D72" s="9" t="s">
        <v>28</v>
      </c>
      <c r="E72" s="9" t="s">
        <v>41</v>
      </c>
      <c r="F72" s="10">
        <v>2.36</v>
      </c>
    </row>
    <row r="73" spans="1:6" x14ac:dyDescent="0.2">
      <c r="A73" s="9" t="s">
        <v>98</v>
      </c>
      <c r="B73" s="9" t="s">
        <v>21</v>
      </c>
      <c r="C73" s="9" t="s">
        <v>31</v>
      </c>
      <c r="D73" s="9" t="s">
        <v>39</v>
      </c>
      <c r="E73" s="9" t="s">
        <v>41</v>
      </c>
      <c r="F73" s="10">
        <v>3.59</v>
      </c>
    </row>
  </sheetData>
  <autoFilter ref="A13:F7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showGridLines="0" zoomScaleNormal="100" workbookViewId="0">
      <pane ySplit="13" topLeftCell="A14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  <col min="4" max="4" width="21" customWidth="1"/>
    <col min="5" max="5" width="13" customWidth="1"/>
    <col min="6" max="6" width="19" customWidth="1"/>
  </cols>
  <sheetData>
    <row r="1" spans="1:6" ht="20" x14ac:dyDescent="0.25">
      <c r="A1" s="1" t="s">
        <v>99</v>
      </c>
    </row>
    <row r="2" spans="1:6" x14ac:dyDescent="0.2">
      <c r="A2" s="2" t="s">
        <v>100</v>
      </c>
    </row>
    <row r="4" spans="1:6" x14ac:dyDescent="0.2">
      <c r="A4" s="3" t="s">
        <v>2</v>
      </c>
      <c r="B4" s="3" t="s">
        <v>3</v>
      </c>
      <c r="C4" s="4" t="s">
        <v>4</v>
      </c>
    </row>
    <row r="5" spans="1:6" ht="30" customHeight="1" x14ac:dyDescent="0.2">
      <c r="A5" s="5">
        <v>1</v>
      </c>
      <c r="B5" s="6" t="s">
        <v>101</v>
      </c>
      <c r="C5" s="7">
        <f>AVERAGEIF(B14:B73,"Tier 1",D14:D73)</f>
        <v>3.5778260869565219</v>
      </c>
    </row>
    <row r="6" spans="1:6" ht="30" customHeight="1" x14ac:dyDescent="0.2">
      <c r="A6" s="5">
        <v>2</v>
      </c>
      <c r="B6" s="6" t="s">
        <v>102</v>
      </c>
      <c r="C6" s="7">
        <f>AVERAGEIF(B14:B73,"Tier 3",D14:D73)</f>
        <v>6.1704347826086963</v>
      </c>
    </row>
    <row r="7" spans="1:6" ht="30" customHeight="1" x14ac:dyDescent="0.2">
      <c r="A7" s="5">
        <v>3</v>
      </c>
      <c r="B7" s="6" t="s">
        <v>103</v>
      </c>
      <c r="C7" s="7">
        <f>AVERAGEIF(C14:C73,"Pre-Upgrade",F14:F73)</f>
        <v>3.9310344827586206</v>
      </c>
    </row>
    <row r="8" spans="1:6" ht="30" customHeight="1" x14ac:dyDescent="0.2">
      <c r="A8" s="5">
        <v>4</v>
      </c>
      <c r="B8" s="6" t="s">
        <v>104</v>
      </c>
      <c r="C8" s="7">
        <f>AVERAGEIF(C14:C73,"Post-Upgrade",F14:F73)</f>
        <v>4.129032258064516</v>
      </c>
    </row>
    <row r="9" spans="1:6" ht="30" customHeight="1" x14ac:dyDescent="0.2">
      <c r="A9" s="5">
        <v>5</v>
      </c>
      <c r="B9" s="6" t="s">
        <v>105</v>
      </c>
      <c r="C9" s="7">
        <f>SUM(E14:E73)</f>
        <v>26</v>
      </c>
    </row>
    <row r="10" spans="1:6" ht="30" customHeight="1" x14ac:dyDescent="0.2">
      <c r="A10" s="5">
        <v>6</v>
      </c>
      <c r="B10" s="6" t="s">
        <v>106</v>
      </c>
      <c r="C10" s="7" t="s">
        <v>107</v>
      </c>
    </row>
    <row r="12" spans="1:6" x14ac:dyDescent="0.2">
      <c r="A12" s="2" t="s">
        <v>13</v>
      </c>
    </row>
    <row r="13" spans="1:6" x14ac:dyDescent="0.2">
      <c r="A13" s="8" t="s">
        <v>14</v>
      </c>
      <c r="B13" s="8" t="s">
        <v>18</v>
      </c>
      <c r="C13" s="8" t="s">
        <v>108</v>
      </c>
      <c r="D13" s="8" t="s">
        <v>19</v>
      </c>
      <c r="E13" s="8" t="s">
        <v>109</v>
      </c>
      <c r="F13" s="8" t="s">
        <v>110</v>
      </c>
    </row>
    <row r="14" spans="1:6" x14ac:dyDescent="0.2">
      <c r="A14" s="9" t="s">
        <v>20</v>
      </c>
      <c r="B14" s="9" t="s">
        <v>24</v>
      </c>
      <c r="C14" s="9" t="s">
        <v>111</v>
      </c>
      <c r="D14" s="10">
        <v>4.41</v>
      </c>
      <c r="E14" s="9">
        <v>0</v>
      </c>
      <c r="F14" s="9">
        <v>4</v>
      </c>
    </row>
    <row r="15" spans="1:6" x14ac:dyDescent="0.2">
      <c r="A15" s="9" t="s">
        <v>25</v>
      </c>
      <c r="B15" s="9" t="s">
        <v>29</v>
      </c>
      <c r="C15" s="9" t="s">
        <v>111</v>
      </c>
      <c r="D15" s="10">
        <v>8.94</v>
      </c>
      <c r="E15" s="9">
        <v>0</v>
      </c>
      <c r="F15" s="9">
        <v>4</v>
      </c>
    </row>
    <row r="16" spans="1:6" x14ac:dyDescent="0.2">
      <c r="A16" s="9" t="s">
        <v>30</v>
      </c>
      <c r="B16" s="9" t="s">
        <v>24</v>
      </c>
      <c r="C16" s="9" t="s">
        <v>111</v>
      </c>
      <c r="D16" s="10">
        <v>3.54</v>
      </c>
      <c r="E16" s="9">
        <v>0</v>
      </c>
      <c r="F16" s="9">
        <v>5</v>
      </c>
    </row>
    <row r="17" spans="1:6" x14ac:dyDescent="0.2">
      <c r="A17" s="9" t="s">
        <v>32</v>
      </c>
      <c r="B17" s="9" t="s">
        <v>24</v>
      </c>
      <c r="C17" s="9" t="s">
        <v>111</v>
      </c>
      <c r="D17" s="10">
        <v>4.7300000000000004</v>
      </c>
      <c r="E17" s="9">
        <v>0</v>
      </c>
      <c r="F17" s="9">
        <v>4</v>
      </c>
    </row>
    <row r="18" spans="1:6" x14ac:dyDescent="0.2">
      <c r="A18" s="9" t="s">
        <v>35</v>
      </c>
      <c r="B18" s="9" t="s">
        <v>24</v>
      </c>
      <c r="C18" s="9" t="s">
        <v>111</v>
      </c>
      <c r="D18" s="10">
        <v>5.32</v>
      </c>
      <c r="E18" s="9">
        <v>1</v>
      </c>
      <c r="F18" s="9">
        <v>4</v>
      </c>
    </row>
    <row r="19" spans="1:6" x14ac:dyDescent="0.2">
      <c r="A19" s="9" t="s">
        <v>37</v>
      </c>
      <c r="B19" s="9" t="s">
        <v>29</v>
      </c>
      <c r="C19" s="9" t="s">
        <v>111</v>
      </c>
      <c r="D19" s="10">
        <v>10.77</v>
      </c>
      <c r="E19" s="9">
        <v>1</v>
      </c>
      <c r="F19" s="9">
        <v>4</v>
      </c>
    </row>
    <row r="20" spans="1:6" x14ac:dyDescent="0.2">
      <c r="A20" s="9" t="s">
        <v>40</v>
      </c>
      <c r="B20" s="9" t="s">
        <v>41</v>
      </c>
      <c r="C20" s="9" t="s">
        <v>111</v>
      </c>
      <c r="D20" s="10">
        <v>4.4400000000000004</v>
      </c>
      <c r="E20" s="9">
        <v>0</v>
      </c>
      <c r="F20" s="9">
        <v>4</v>
      </c>
    </row>
    <row r="21" spans="1:6" x14ac:dyDescent="0.2">
      <c r="A21" s="9" t="s">
        <v>42</v>
      </c>
      <c r="B21" s="9" t="s">
        <v>24</v>
      </c>
      <c r="C21" s="9" t="s">
        <v>111</v>
      </c>
      <c r="D21" s="10">
        <v>2.11</v>
      </c>
      <c r="E21" s="9">
        <v>0</v>
      </c>
      <c r="F21" s="9">
        <v>4</v>
      </c>
    </row>
    <row r="22" spans="1:6" x14ac:dyDescent="0.2">
      <c r="A22" s="9" t="s">
        <v>43</v>
      </c>
      <c r="B22" s="9" t="s">
        <v>29</v>
      </c>
      <c r="C22" s="9" t="s">
        <v>111</v>
      </c>
      <c r="D22" s="10">
        <v>5.6</v>
      </c>
      <c r="E22" s="9">
        <v>2</v>
      </c>
      <c r="F22" s="9">
        <v>3</v>
      </c>
    </row>
    <row r="23" spans="1:6" x14ac:dyDescent="0.2">
      <c r="A23" s="9" t="s">
        <v>45</v>
      </c>
      <c r="B23" s="9" t="s">
        <v>29</v>
      </c>
      <c r="C23" s="9" t="s">
        <v>111</v>
      </c>
      <c r="D23" s="10">
        <v>6.36</v>
      </c>
      <c r="E23" s="9">
        <v>2</v>
      </c>
      <c r="F23" s="9">
        <v>3</v>
      </c>
    </row>
    <row r="24" spans="1:6" x14ac:dyDescent="0.2">
      <c r="A24" s="9" t="s">
        <v>47</v>
      </c>
      <c r="B24" s="9" t="s">
        <v>29</v>
      </c>
      <c r="C24" s="9" t="s">
        <v>111</v>
      </c>
      <c r="D24" s="10">
        <v>7.65</v>
      </c>
      <c r="E24" s="9">
        <v>0</v>
      </c>
      <c r="F24" s="9">
        <v>3</v>
      </c>
    </row>
    <row r="25" spans="1:6" x14ac:dyDescent="0.2">
      <c r="A25" s="9" t="s">
        <v>49</v>
      </c>
      <c r="B25" s="9" t="s">
        <v>41</v>
      </c>
      <c r="C25" s="9" t="s">
        <v>111</v>
      </c>
      <c r="D25" s="10">
        <v>5.0199999999999996</v>
      </c>
      <c r="E25" s="9">
        <v>1</v>
      </c>
      <c r="F25" s="9">
        <v>4</v>
      </c>
    </row>
    <row r="26" spans="1:6" x14ac:dyDescent="0.2">
      <c r="A26" s="9" t="s">
        <v>50</v>
      </c>
      <c r="B26" s="9" t="s">
        <v>41</v>
      </c>
      <c r="C26" s="9" t="s">
        <v>111</v>
      </c>
      <c r="D26" s="10">
        <v>2.95</v>
      </c>
      <c r="E26" s="9">
        <v>0</v>
      </c>
      <c r="F26" s="9">
        <v>5</v>
      </c>
    </row>
    <row r="27" spans="1:6" x14ac:dyDescent="0.2">
      <c r="A27" s="9" t="s">
        <v>51</v>
      </c>
      <c r="B27" s="9" t="s">
        <v>29</v>
      </c>
      <c r="C27" s="9" t="s">
        <v>111</v>
      </c>
      <c r="D27" s="10">
        <v>7.73</v>
      </c>
      <c r="E27" s="9">
        <v>0</v>
      </c>
      <c r="F27" s="9">
        <v>3</v>
      </c>
    </row>
    <row r="28" spans="1:6" x14ac:dyDescent="0.2">
      <c r="A28" s="9" t="s">
        <v>52</v>
      </c>
      <c r="B28" s="9" t="s">
        <v>29</v>
      </c>
      <c r="C28" s="9" t="s">
        <v>111</v>
      </c>
      <c r="D28" s="10">
        <v>8.1199999999999992</v>
      </c>
      <c r="E28" s="9">
        <v>2</v>
      </c>
      <c r="F28" s="9">
        <v>3</v>
      </c>
    </row>
    <row r="29" spans="1:6" x14ac:dyDescent="0.2">
      <c r="A29" s="9" t="s">
        <v>53</v>
      </c>
      <c r="B29" s="9" t="s">
        <v>24</v>
      </c>
      <c r="C29" s="9" t="s">
        <v>111</v>
      </c>
      <c r="D29" s="10">
        <v>4.01</v>
      </c>
      <c r="E29" s="9">
        <v>0</v>
      </c>
      <c r="F29" s="9">
        <v>5</v>
      </c>
    </row>
    <row r="30" spans="1:6" x14ac:dyDescent="0.2">
      <c r="A30" s="9" t="s">
        <v>54</v>
      </c>
      <c r="B30" s="9" t="s">
        <v>29</v>
      </c>
      <c r="C30" s="9" t="s">
        <v>111</v>
      </c>
      <c r="D30" s="10">
        <v>4.38</v>
      </c>
      <c r="E30" s="9">
        <v>0</v>
      </c>
      <c r="F30" s="9">
        <v>4</v>
      </c>
    </row>
    <row r="31" spans="1:6" x14ac:dyDescent="0.2">
      <c r="A31" s="9" t="s">
        <v>55</v>
      </c>
      <c r="B31" s="9" t="s">
        <v>29</v>
      </c>
      <c r="C31" s="9" t="s">
        <v>111</v>
      </c>
      <c r="D31" s="10">
        <v>9.0399999999999991</v>
      </c>
      <c r="E31" s="9">
        <v>1</v>
      </c>
      <c r="F31" s="9">
        <v>3</v>
      </c>
    </row>
    <row r="32" spans="1:6" x14ac:dyDescent="0.2">
      <c r="A32" s="9" t="s">
        <v>56</v>
      </c>
      <c r="B32" s="9" t="s">
        <v>41</v>
      </c>
      <c r="C32" s="9" t="s">
        <v>111</v>
      </c>
      <c r="D32" s="10">
        <v>9.92</v>
      </c>
      <c r="E32" s="9">
        <v>1</v>
      </c>
      <c r="F32" s="9">
        <v>3</v>
      </c>
    </row>
    <row r="33" spans="1:6" x14ac:dyDescent="0.2">
      <c r="A33" s="9" t="s">
        <v>57</v>
      </c>
      <c r="B33" s="9" t="s">
        <v>29</v>
      </c>
      <c r="C33" s="9" t="s">
        <v>111</v>
      </c>
      <c r="D33" s="10">
        <v>7.06</v>
      </c>
      <c r="E33" s="9">
        <v>1</v>
      </c>
      <c r="F33" s="9">
        <v>4</v>
      </c>
    </row>
    <row r="34" spans="1:6" x14ac:dyDescent="0.2">
      <c r="A34" s="9" t="s">
        <v>58</v>
      </c>
      <c r="B34" s="9" t="s">
        <v>41</v>
      </c>
      <c r="C34" s="9" t="s">
        <v>111</v>
      </c>
      <c r="D34" s="10">
        <v>2.92</v>
      </c>
      <c r="E34" s="9">
        <v>0</v>
      </c>
      <c r="F34" s="9">
        <v>5</v>
      </c>
    </row>
    <row r="35" spans="1:6" x14ac:dyDescent="0.2">
      <c r="A35" s="9" t="s">
        <v>59</v>
      </c>
      <c r="B35" s="9" t="s">
        <v>24</v>
      </c>
      <c r="C35" s="9" t="s">
        <v>111</v>
      </c>
      <c r="D35" s="10">
        <v>3.13</v>
      </c>
      <c r="E35" s="9">
        <v>0</v>
      </c>
      <c r="F35" s="9">
        <v>4</v>
      </c>
    </row>
    <row r="36" spans="1:6" x14ac:dyDescent="0.2">
      <c r="A36" s="9" t="s">
        <v>60</v>
      </c>
      <c r="B36" s="9" t="s">
        <v>24</v>
      </c>
      <c r="C36" s="9" t="s">
        <v>111</v>
      </c>
      <c r="D36" s="10">
        <v>4.17</v>
      </c>
      <c r="E36" s="9">
        <v>0</v>
      </c>
      <c r="F36" s="9">
        <v>4</v>
      </c>
    </row>
    <row r="37" spans="1:6" x14ac:dyDescent="0.2">
      <c r="A37" s="9" t="s">
        <v>61</v>
      </c>
      <c r="B37" s="9" t="s">
        <v>24</v>
      </c>
      <c r="C37" s="9" t="s">
        <v>111</v>
      </c>
      <c r="D37" s="10">
        <v>1.54</v>
      </c>
      <c r="E37" s="9">
        <v>0</v>
      </c>
      <c r="F37" s="9">
        <v>5</v>
      </c>
    </row>
    <row r="38" spans="1:6" x14ac:dyDescent="0.2">
      <c r="A38" s="9" t="s">
        <v>62</v>
      </c>
      <c r="B38" s="9" t="s">
        <v>24</v>
      </c>
      <c r="C38" s="9" t="s">
        <v>111</v>
      </c>
      <c r="D38" s="10">
        <v>2.59</v>
      </c>
      <c r="E38" s="9">
        <v>1</v>
      </c>
      <c r="F38" s="9">
        <v>5</v>
      </c>
    </row>
    <row r="39" spans="1:6" x14ac:dyDescent="0.2">
      <c r="A39" s="9" t="s">
        <v>63</v>
      </c>
      <c r="B39" s="9" t="s">
        <v>29</v>
      </c>
      <c r="C39" s="9" t="s">
        <v>111</v>
      </c>
      <c r="D39" s="10">
        <v>6.42</v>
      </c>
      <c r="E39" s="9">
        <v>0</v>
      </c>
      <c r="F39" s="9">
        <v>4</v>
      </c>
    </row>
    <row r="40" spans="1:6" x14ac:dyDescent="0.2">
      <c r="A40" s="9" t="s">
        <v>64</v>
      </c>
      <c r="B40" s="9" t="s">
        <v>24</v>
      </c>
      <c r="C40" s="9" t="s">
        <v>111</v>
      </c>
      <c r="D40" s="10">
        <v>0.61</v>
      </c>
      <c r="E40" s="9">
        <v>0</v>
      </c>
      <c r="F40" s="9">
        <v>4</v>
      </c>
    </row>
    <row r="41" spans="1:6" x14ac:dyDescent="0.2">
      <c r="A41" s="9" t="s">
        <v>65</v>
      </c>
      <c r="B41" s="9" t="s">
        <v>29</v>
      </c>
      <c r="C41" s="9" t="s">
        <v>111</v>
      </c>
      <c r="D41" s="10">
        <v>6.51</v>
      </c>
      <c r="E41" s="9">
        <v>1</v>
      </c>
      <c r="F41" s="9">
        <v>3</v>
      </c>
    </row>
    <row r="42" spans="1:6" x14ac:dyDescent="0.2">
      <c r="A42" s="9" t="s">
        <v>66</v>
      </c>
      <c r="B42" s="9" t="s">
        <v>41</v>
      </c>
      <c r="C42" s="9" t="s">
        <v>111</v>
      </c>
      <c r="D42" s="10">
        <v>5.39</v>
      </c>
      <c r="E42" s="9">
        <v>0</v>
      </c>
      <c r="F42" s="9">
        <v>4</v>
      </c>
    </row>
    <row r="43" spans="1:6" x14ac:dyDescent="0.2">
      <c r="A43" s="9" t="s">
        <v>67</v>
      </c>
      <c r="B43" s="9" t="s">
        <v>24</v>
      </c>
      <c r="C43" s="9" t="s">
        <v>112</v>
      </c>
      <c r="D43" s="10">
        <v>5.35</v>
      </c>
      <c r="E43" s="9">
        <v>0</v>
      </c>
      <c r="F43" s="9">
        <v>4</v>
      </c>
    </row>
    <row r="44" spans="1:6" x14ac:dyDescent="0.2">
      <c r="A44" s="9" t="s">
        <v>68</v>
      </c>
      <c r="B44" s="9" t="s">
        <v>24</v>
      </c>
      <c r="C44" s="9" t="s">
        <v>112</v>
      </c>
      <c r="D44" s="10">
        <v>1.4</v>
      </c>
      <c r="E44" s="9">
        <v>0</v>
      </c>
      <c r="F44" s="9">
        <v>5</v>
      </c>
    </row>
    <row r="45" spans="1:6" x14ac:dyDescent="0.2">
      <c r="A45" s="9" t="s">
        <v>69</v>
      </c>
      <c r="B45" s="9" t="s">
        <v>41</v>
      </c>
      <c r="C45" s="9" t="s">
        <v>112</v>
      </c>
      <c r="D45" s="10">
        <v>0.39</v>
      </c>
      <c r="E45" s="9">
        <v>0</v>
      </c>
      <c r="F45" s="9">
        <v>4</v>
      </c>
    </row>
    <row r="46" spans="1:6" x14ac:dyDescent="0.2">
      <c r="A46" s="9" t="s">
        <v>70</v>
      </c>
      <c r="B46" s="9" t="s">
        <v>24</v>
      </c>
      <c r="C46" s="9" t="s">
        <v>112</v>
      </c>
      <c r="D46" s="10">
        <v>5.0999999999999996</v>
      </c>
      <c r="E46" s="9">
        <v>1</v>
      </c>
      <c r="F46" s="9">
        <v>4</v>
      </c>
    </row>
    <row r="47" spans="1:6" x14ac:dyDescent="0.2">
      <c r="A47" s="9" t="s">
        <v>71</v>
      </c>
      <c r="B47" s="9" t="s">
        <v>29</v>
      </c>
      <c r="C47" s="9" t="s">
        <v>112</v>
      </c>
      <c r="D47" s="10">
        <v>6.77</v>
      </c>
      <c r="E47" s="9">
        <v>2</v>
      </c>
      <c r="F47" s="9">
        <v>3</v>
      </c>
    </row>
    <row r="48" spans="1:6" x14ac:dyDescent="0.2">
      <c r="A48" s="9" t="s">
        <v>72</v>
      </c>
      <c r="B48" s="9" t="s">
        <v>41</v>
      </c>
      <c r="C48" s="9" t="s">
        <v>112</v>
      </c>
      <c r="D48" s="10">
        <v>1.1399999999999999</v>
      </c>
      <c r="E48" s="9">
        <v>0</v>
      </c>
      <c r="F48" s="9">
        <v>5</v>
      </c>
    </row>
    <row r="49" spans="1:6" x14ac:dyDescent="0.2">
      <c r="A49" s="9" t="s">
        <v>73</v>
      </c>
      <c r="B49" s="9" t="s">
        <v>24</v>
      </c>
      <c r="C49" s="9" t="s">
        <v>112</v>
      </c>
      <c r="D49" s="10">
        <v>4.6900000000000004</v>
      </c>
      <c r="E49" s="9">
        <v>1</v>
      </c>
      <c r="F49" s="9">
        <v>3</v>
      </c>
    </row>
    <row r="50" spans="1:6" x14ac:dyDescent="0.2">
      <c r="A50" s="9" t="s">
        <v>74</v>
      </c>
      <c r="B50" s="9" t="s">
        <v>29</v>
      </c>
      <c r="C50" s="9" t="s">
        <v>112</v>
      </c>
      <c r="D50" s="10">
        <v>7.06</v>
      </c>
      <c r="E50" s="9">
        <v>1</v>
      </c>
      <c r="F50" s="9">
        <v>5</v>
      </c>
    </row>
    <row r="51" spans="1:6" x14ac:dyDescent="0.2">
      <c r="A51" s="9" t="s">
        <v>76</v>
      </c>
      <c r="B51" s="9" t="s">
        <v>41</v>
      </c>
      <c r="C51" s="9" t="s">
        <v>112</v>
      </c>
      <c r="D51" s="10">
        <v>0.3</v>
      </c>
      <c r="E51" s="9">
        <v>0</v>
      </c>
      <c r="F51" s="9">
        <v>5</v>
      </c>
    </row>
    <row r="52" spans="1:6" x14ac:dyDescent="0.2">
      <c r="A52" s="9" t="s">
        <v>77</v>
      </c>
      <c r="B52" s="9" t="s">
        <v>41</v>
      </c>
      <c r="C52" s="9" t="s">
        <v>112</v>
      </c>
      <c r="D52" s="10">
        <v>5.26</v>
      </c>
      <c r="E52" s="9">
        <v>0</v>
      </c>
      <c r="F52" s="9">
        <v>5</v>
      </c>
    </row>
    <row r="53" spans="1:6" x14ac:dyDescent="0.2">
      <c r="A53" s="9" t="s">
        <v>78</v>
      </c>
      <c r="B53" s="9" t="s">
        <v>24</v>
      </c>
      <c r="C53" s="9" t="s">
        <v>112</v>
      </c>
      <c r="D53" s="10">
        <v>5.64</v>
      </c>
      <c r="E53" s="9">
        <v>0</v>
      </c>
      <c r="F53" s="9">
        <v>4</v>
      </c>
    </row>
    <row r="54" spans="1:6" x14ac:dyDescent="0.2">
      <c r="A54" s="9" t="s">
        <v>79</v>
      </c>
      <c r="B54" s="9" t="s">
        <v>24</v>
      </c>
      <c r="C54" s="9" t="s">
        <v>112</v>
      </c>
      <c r="D54" s="10">
        <v>2.14</v>
      </c>
      <c r="E54" s="9">
        <v>0</v>
      </c>
      <c r="F54" s="9">
        <v>4</v>
      </c>
    </row>
    <row r="55" spans="1:6" x14ac:dyDescent="0.2">
      <c r="A55" s="9" t="s">
        <v>80</v>
      </c>
      <c r="B55" s="9" t="s">
        <v>29</v>
      </c>
      <c r="C55" s="9" t="s">
        <v>112</v>
      </c>
      <c r="D55" s="10">
        <v>3.45</v>
      </c>
      <c r="E55" s="9">
        <v>0</v>
      </c>
      <c r="F55" s="9">
        <v>4</v>
      </c>
    </row>
    <row r="56" spans="1:6" x14ac:dyDescent="0.2">
      <c r="A56" s="9" t="s">
        <v>81</v>
      </c>
      <c r="B56" s="9" t="s">
        <v>24</v>
      </c>
      <c r="C56" s="9" t="s">
        <v>112</v>
      </c>
      <c r="D56" s="10">
        <v>3.4</v>
      </c>
      <c r="E56" s="9">
        <v>1</v>
      </c>
      <c r="F56" s="9">
        <v>4</v>
      </c>
    </row>
    <row r="57" spans="1:6" x14ac:dyDescent="0.2">
      <c r="A57" s="9" t="s">
        <v>82</v>
      </c>
      <c r="B57" s="9" t="s">
        <v>24</v>
      </c>
      <c r="C57" s="9" t="s">
        <v>112</v>
      </c>
      <c r="D57" s="10">
        <v>1.93</v>
      </c>
      <c r="E57" s="9">
        <v>0</v>
      </c>
      <c r="F57" s="9">
        <v>4</v>
      </c>
    </row>
    <row r="58" spans="1:6" x14ac:dyDescent="0.2">
      <c r="A58" s="9" t="s">
        <v>83</v>
      </c>
      <c r="B58" s="9" t="s">
        <v>29</v>
      </c>
      <c r="C58" s="9" t="s">
        <v>112</v>
      </c>
      <c r="D58" s="9">
        <v>5</v>
      </c>
      <c r="E58" s="9">
        <v>0</v>
      </c>
      <c r="F58" s="9">
        <v>4</v>
      </c>
    </row>
    <row r="59" spans="1:6" x14ac:dyDescent="0.2">
      <c r="A59" s="9" t="s">
        <v>84</v>
      </c>
      <c r="B59" s="9" t="s">
        <v>24</v>
      </c>
      <c r="C59" s="9" t="s">
        <v>112</v>
      </c>
      <c r="D59" s="10">
        <v>5.53</v>
      </c>
      <c r="E59" s="9">
        <v>0</v>
      </c>
      <c r="F59" s="9">
        <v>5</v>
      </c>
    </row>
    <row r="60" spans="1:6" x14ac:dyDescent="0.2">
      <c r="A60" s="9" t="s">
        <v>85</v>
      </c>
      <c r="B60" s="9" t="s">
        <v>41</v>
      </c>
      <c r="C60" s="9" t="s">
        <v>112</v>
      </c>
      <c r="D60" s="10">
        <v>1.32</v>
      </c>
      <c r="E60" s="9">
        <v>1</v>
      </c>
      <c r="F60" s="9">
        <v>4</v>
      </c>
    </row>
    <row r="61" spans="1:6" x14ac:dyDescent="0.2">
      <c r="A61" s="9" t="s">
        <v>86</v>
      </c>
      <c r="B61" s="9" t="s">
        <v>29</v>
      </c>
      <c r="C61" s="9" t="s">
        <v>112</v>
      </c>
      <c r="D61" s="10">
        <v>2.69</v>
      </c>
      <c r="E61" s="9">
        <v>1</v>
      </c>
      <c r="F61" s="9">
        <v>3</v>
      </c>
    </row>
    <row r="62" spans="1:6" x14ac:dyDescent="0.2">
      <c r="A62" s="9" t="s">
        <v>87</v>
      </c>
      <c r="B62" s="9" t="s">
        <v>29</v>
      </c>
      <c r="C62" s="9" t="s">
        <v>112</v>
      </c>
      <c r="D62" s="10">
        <v>9.57</v>
      </c>
      <c r="E62" s="9">
        <v>1</v>
      </c>
      <c r="F62" s="9">
        <v>3</v>
      </c>
    </row>
    <row r="63" spans="1:6" x14ac:dyDescent="0.2">
      <c r="A63" s="9" t="s">
        <v>88</v>
      </c>
      <c r="B63" s="9" t="s">
        <v>29</v>
      </c>
      <c r="C63" s="9" t="s">
        <v>112</v>
      </c>
      <c r="D63" s="10">
        <v>2.52</v>
      </c>
      <c r="E63" s="9">
        <v>0</v>
      </c>
      <c r="F63" s="9">
        <v>4</v>
      </c>
    </row>
    <row r="64" spans="1:6" x14ac:dyDescent="0.2">
      <c r="A64" s="9" t="s">
        <v>89</v>
      </c>
      <c r="B64" s="9" t="s">
        <v>24</v>
      </c>
      <c r="C64" s="9" t="s">
        <v>112</v>
      </c>
      <c r="D64" s="10">
        <v>2.77</v>
      </c>
      <c r="E64" s="9">
        <v>0</v>
      </c>
      <c r="F64" s="9">
        <v>4</v>
      </c>
    </row>
    <row r="65" spans="1:6" x14ac:dyDescent="0.2">
      <c r="A65" s="9" t="s">
        <v>90</v>
      </c>
      <c r="B65" s="9" t="s">
        <v>41</v>
      </c>
      <c r="C65" s="9" t="s">
        <v>112</v>
      </c>
      <c r="D65" s="10">
        <v>2.21</v>
      </c>
      <c r="E65" s="9">
        <v>0</v>
      </c>
      <c r="F65" s="9">
        <v>5</v>
      </c>
    </row>
    <row r="66" spans="1:6" x14ac:dyDescent="0.2">
      <c r="A66" s="9" t="s">
        <v>91</v>
      </c>
      <c r="B66" s="9" t="s">
        <v>24</v>
      </c>
      <c r="C66" s="9" t="s">
        <v>112</v>
      </c>
      <c r="D66" s="10">
        <v>2.2000000000000002</v>
      </c>
      <c r="E66" s="9">
        <v>0</v>
      </c>
      <c r="F66" s="9">
        <v>5</v>
      </c>
    </row>
    <row r="67" spans="1:6" x14ac:dyDescent="0.2">
      <c r="A67" s="9" t="s">
        <v>92</v>
      </c>
      <c r="B67" s="9" t="s">
        <v>29</v>
      </c>
      <c r="C67" s="9" t="s">
        <v>112</v>
      </c>
      <c r="D67" s="10">
        <v>6.35</v>
      </c>
      <c r="E67" s="9">
        <v>0</v>
      </c>
      <c r="F67" s="9">
        <v>4</v>
      </c>
    </row>
    <row r="68" spans="1:6" x14ac:dyDescent="0.2">
      <c r="A68" s="9" t="s">
        <v>93</v>
      </c>
      <c r="B68" s="9" t="s">
        <v>29</v>
      </c>
      <c r="C68" s="9" t="s">
        <v>112</v>
      </c>
      <c r="D68" s="10">
        <v>1.66</v>
      </c>
      <c r="E68" s="9">
        <v>2</v>
      </c>
      <c r="F68" s="9">
        <v>4</v>
      </c>
    </row>
    <row r="69" spans="1:6" x14ac:dyDescent="0.2">
      <c r="A69" s="9" t="s">
        <v>94</v>
      </c>
      <c r="B69" s="9" t="s">
        <v>24</v>
      </c>
      <c r="C69" s="9" t="s">
        <v>112</v>
      </c>
      <c r="D69" s="10">
        <v>5.98</v>
      </c>
      <c r="E69" s="9">
        <v>0</v>
      </c>
      <c r="F69" s="9">
        <v>3</v>
      </c>
    </row>
    <row r="70" spans="1:6" x14ac:dyDescent="0.2">
      <c r="A70" s="9" t="s">
        <v>95</v>
      </c>
      <c r="B70" s="9" t="s">
        <v>29</v>
      </c>
      <c r="C70" s="9" t="s">
        <v>112</v>
      </c>
      <c r="D70" s="10">
        <v>4.3</v>
      </c>
      <c r="E70" s="9">
        <v>1</v>
      </c>
      <c r="F70" s="9">
        <v>4</v>
      </c>
    </row>
    <row r="71" spans="1:6" x14ac:dyDescent="0.2">
      <c r="A71" s="9" t="s">
        <v>96</v>
      </c>
      <c r="B71" s="9" t="s">
        <v>29</v>
      </c>
      <c r="C71" s="9" t="s">
        <v>112</v>
      </c>
      <c r="D71" s="10">
        <v>3.97</v>
      </c>
      <c r="E71" s="9">
        <v>0</v>
      </c>
      <c r="F71" s="9">
        <v>3</v>
      </c>
    </row>
    <row r="72" spans="1:6" x14ac:dyDescent="0.2">
      <c r="A72" s="9" t="s">
        <v>97</v>
      </c>
      <c r="B72" s="9" t="s">
        <v>41</v>
      </c>
      <c r="C72" s="9" t="s">
        <v>112</v>
      </c>
      <c r="D72" s="10">
        <v>2.36</v>
      </c>
      <c r="E72" s="9">
        <v>0</v>
      </c>
      <c r="F72" s="9">
        <v>5</v>
      </c>
    </row>
    <row r="73" spans="1:6" x14ac:dyDescent="0.2">
      <c r="A73" s="9" t="s">
        <v>98</v>
      </c>
      <c r="B73" s="9" t="s">
        <v>41</v>
      </c>
      <c r="C73" s="9" t="s">
        <v>112</v>
      </c>
      <c r="D73" s="10">
        <v>3.59</v>
      </c>
      <c r="E73" s="9">
        <v>0</v>
      </c>
      <c r="F73" s="9">
        <v>5</v>
      </c>
    </row>
  </sheetData>
  <autoFilter ref="A13:F7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showGridLines="0" zoomScaleNormal="100" workbookViewId="0">
      <pane ySplit="19" topLeftCell="A20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  <col min="4" max="4" width="21" customWidth="1"/>
  </cols>
  <sheetData>
    <row r="1" spans="1:8" ht="20" x14ac:dyDescent="0.25">
      <c r="A1" s="1" t="s">
        <v>113</v>
      </c>
    </row>
    <row r="2" spans="1:8" x14ac:dyDescent="0.2">
      <c r="A2" s="2" t="s">
        <v>114</v>
      </c>
    </row>
    <row r="4" spans="1:8" x14ac:dyDescent="0.2">
      <c r="A4" s="3" t="s">
        <v>2</v>
      </c>
      <c r="B4" s="3" t="s">
        <v>3</v>
      </c>
      <c r="C4" s="4" t="s">
        <v>4</v>
      </c>
    </row>
    <row r="5" spans="1:8" ht="30" customHeight="1" x14ac:dyDescent="0.2">
      <c r="A5" s="5">
        <v>1</v>
      </c>
      <c r="B5" s="6" t="s">
        <v>115</v>
      </c>
      <c r="C5" s="7">
        <f>INDEX($F$12:$H$15,MATCH("P1",$E$12:$E$15,0),MATCH("Tier 3",$F$11:$H$11,0))</f>
        <v>4</v>
      </c>
    </row>
    <row r="6" spans="1:8" ht="30" customHeight="1" x14ac:dyDescent="0.2">
      <c r="A6" s="5">
        <v>2</v>
      </c>
      <c r="B6" s="6" t="s">
        <v>116</v>
      </c>
      <c r="C6" s="7">
        <f>INDEX($F$12:$H$15,MATCH("P3",$E$12:$E$15,0),MATCH("Tier 1",$F$11:$H$11,0))</f>
        <v>8</v>
      </c>
    </row>
    <row r="7" spans="1:8" ht="30" customHeight="1" x14ac:dyDescent="0.2">
      <c r="A7" s="5">
        <v>3</v>
      </c>
      <c r="B7" s="6" t="s">
        <v>117</v>
      </c>
      <c r="C7" s="7">
        <f>INDEX($F$12:$H$15,MATCH(B20,$E$12:$E$15,0),MATCH(C20,$F$11:$H$11,0))</f>
        <v>4</v>
      </c>
    </row>
    <row r="8" spans="1:8" ht="30" customHeight="1" x14ac:dyDescent="0.2">
      <c r="A8" s="5">
        <v>4</v>
      </c>
      <c r="B8" s="6" t="s">
        <v>118</v>
      </c>
      <c r="C8" s="7" t="s">
        <v>119</v>
      </c>
    </row>
    <row r="10" spans="1:8" x14ac:dyDescent="0.2">
      <c r="E10" s="11" t="s">
        <v>120</v>
      </c>
    </row>
    <row r="11" spans="1:8" x14ac:dyDescent="0.2">
      <c r="E11" s="12" t="s">
        <v>121</v>
      </c>
      <c r="F11" s="12" t="s">
        <v>24</v>
      </c>
      <c r="G11" s="12" t="s">
        <v>41</v>
      </c>
      <c r="H11" s="12" t="s">
        <v>29</v>
      </c>
    </row>
    <row r="12" spans="1:8" x14ac:dyDescent="0.2">
      <c r="E12" s="12" t="s">
        <v>48</v>
      </c>
      <c r="F12" s="13">
        <v>2</v>
      </c>
      <c r="G12" s="13">
        <v>3</v>
      </c>
      <c r="H12" s="13">
        <v>4</v>
      </c>
    </row>
    <row r="13" spans="1:8" x14ac:dyDescent="0.2">
      <c r="E13" s="12" t="s">
        <v>23</v>
      </c>
      <c r="F13" s="13">
        <v>4</v>
      </c>
      <c r="G13" s="13">
        <v>6</v>
      </c>
      <c r="H13" s="13">
        <v>8</v>
      </c>
    </row>
    <row r="14" spans="1:8" x14ac:dyDescent="0.2">
      <c r="E14" s="12" t="s">
        <v>39</v>
      </c>
      <c r="F14" s="13">
        <v>8</v>
      </c>
      <c r="G14" s="13">
        <v>12</v>
      </c>
      <c r="H14" s="13">
        <v>16</v>
      </c>
    </row>
    <row r="15" spans="1:8" x14ac:dyDescent="0.2">
      <c r="E15" s="12" t="s">
        <v>28</v>
      </c>
      <c r="F15" s="13">
        <v>24</v>
      </c>
      <c r="G15" s="13">
        <v>36</v>
      </c>
      <c r="H15" s="13">
        <v>48</v>
      </c>
    </row>
    <row r="18" spans="1:4" x14ac:dyDescent="0.2">
      <c r="A18" s="2" t="s">
        <v>13</v>
      </c>
    </row>
    <row r="19" spans="1:4" x14ac:dyDescent="0.2">
      <c r="A19" s="8" t="s">
        <v>14</v>
      </c>
      <c r="B19" s="8" t="s">
        <v>17</v>
      </c>
      <c r="C19" s="8" t="s">
        <v>18</v>
      </c>
      <c r="D19" s="8" t="s">
        <v>19</v>
      </c>
    </row>
    <row r="20" spans="1:4" x14ac:dyDescent="0.2">
      <c r="A20" s="9" t="s">
        <v>20</v>
      </c>
      <c r="B20" s="9" t="s">
        <v>23</v>
      </c>
      <c r="C20" s="9" t="s">
        <v>24</v>
      </c>
      <c r="D20" s="10">
        <v>4.41</v>
      </c>
    </row>
    <row r="21" spans="1:4" x14ac:dyDescent="0.2">
      <c r="A21" s="9" t="s">
        <v>25</v>
      </c>
      <c r="B21" s="9" t="s">
        <v>28</v>
      </c>
      <c r="C21" s="9" t="s">
        <v>29</v>
      </c>
      <c r="D21" s="10">
        <v>8.94</v>
      </c>
    </row>
    <row r="22" spans="1:4" x14ac:dyDescent="0.2">
      <c r="A22" s="9" t="s">
        <v>30</v>
      </c>
      <c r="B22" s="9" t="s">
        <v>28</v>
      </c>
      <c r="C22" s="9" t="s">
        <v>24</v>
      </c>
      <c r="D22" s="10">
        <v>3.54</v>
      </c>
    </row>
    <row r="23" spans="1:4" x14ac:dyDescent="0.2">
      <c r="A23" s="9" t="s">
        <v>32</v>
      </c>
      <c r="B23" s="9" t="s">
        <v>28</v>
      </c>
      <c r="C23" s="9" t="s">
        <v>24</v>
      </c>
      <c r="D23" s="10">
        <v>4.7300000000000004</v>
      </c>
    </row>
    <row r="24" spans="1:4" x14ac:dyDescent="0.2">
      <c r="A24" s="9" t="s">
        <v>35</v>
      </c>
      <c r="B24" s="9" t="s">
        <v>23</v>
      </c>
      <c r="C24" s="9" t="s">
        <v>24</v>
      </c>
      <c r="D24" s="10">
        <v>5.32</v>
      </c>
    </row>
    <row r="25" spans="1:4" x14ac:dyDescent="0.2">
      <c r="A25" s="9" t="s">
        <v>37</v>
      </c>
      <c r="B25" s="9" t="s">
        <v>39</v>
      </c>
      <c r="C25" s="9" t="s">
        <v>29</v>
      </c>
      <c r="D25" s="10">
        <v>10.77</v>
      </c>
    </row>
    <row r="26" spans="1:4" x14ac:dyDescent="0.2">
      <c r="A26" s="9" t="s">
        <v>40</v>
      </c>
      <c r="B26" s="9" t="s">
        <v>28</v>
      </c>
      <c r="C26" s="9" t="s">
        <v>41</v>
      </c>
      <c r="D26" s="10">
        <v>4.4400000000000004</v>
      </c>
    </row>
    <row r="27" spans="1:4" x14ac:dyDescent="0.2">
      <c r="A27" s="9" t="s">
        <v>42</v>
      </c>
      <c r="B27" s="9" t="s">
        <v>39</v>
      </c>
      <c r="C27" s="9" t="s">
        <v>24</v>
      </c>
      <c r="D27" s="10">
        <v>2.11</v>
      </c>
    </row>
    <row r="28" spans="1:4" x14ac:dyDescent="0.2">
      <c r="A28" s="9" t="s">
        <v>43</v>
      </c>
      <c r="B28" s="9" t="s">
        <v>23</v>
      </c>
      <c r="C28" s="9" t="s">
        <v>29</v>
      </c>
      <c r="D28" s="10">
        <v>5.6</v>
      </c>
    </row>
    <row r="29" spans="1:4" x14ac:dyDescent="0.2">
      <c r="A29" s="9" t="s">
        <v>45</v>
      </c>
      <c r="B29" s="9" t="s">
        <v>23</v>
      </c>
      <c r="C29" s="9" t="s">
        <v>29</v>
      </c>
      <c r="D29" s="10">
        <v>6.36</v>
      </c>
    </row>
    <row r="30" spans="1:4" x14ac:dyDescent="0.2">
      <c r="A30" s="9" t="s">
        <v>47</v>
      </c>
      <c r="B30" s="9" t="s">
        <v>48</v>
      </c>
      <c r="C30" s="9" t="s">
        <v>29</v>
      </c>
      <c r="D30" s="10">
        <v>7.65</v>
      </c>
    </row>
    <row r="31" spans="1:4" x14ac:dyDescent="0.2">
      <c r="A31" s="9" t="s">
        <v>49</v>
      </c>
      <c r="B31" s="9" t="s">
        <v>23</v>
      </c>
      <c r="C31" s="9" t="s">
        <v>41</v>
      </c>
      <c r="D31" s="10">
        <v>5.0199999999999996</v>
      </c>
    </row>
    <row r="32" spans="1:4" x14ac:dyDescent="0.2">
      <c r="A32" s="9" t="s">
        <v>50</v>
      </c>
      <c r="B32" s="9" t="s">
        <v>39</v>
      </c>
      <c r="C32" s="9" t="s">
        <v>41</v>
      </c>
      <c r="D32" s="10">
        <v>2.95</v>
      </c>
    </row>
    <row r="33" spans="1:4" x14ac:dyDescent="0.2">
      <c r="A33" s="9" t="s">
        <v>51</v>
      </c>
      <c r="B33" s="9" t="s">
        <v>23</v>
      </c>
      <c r="C33" s="9" t="s">
        <v>29</v>
      </c>
      <c r="D33" s="10">
        <v>7.73</v>
      </c>
    </row>
    <row r="34" spans="1:4" x14ac:dyDescent="0.2">
      <c r="A34" s="9" t="s">
        <v>52</v>
      </c>
      <c r="B34" s="9" t="s">
        <v>48</v>
      </c>
      <c r="C34" s="9" t="s">
        <v>29</v>
      </c>
      <c r="D34" s="10">
        <v>8.1199999999999992</v>
      </c>
    </row>
    <row r="35" spans="1:4" x14ac:dyDescent="0.2">
      <c r="A35" s="9" t="s">
        <v>53</v>
      </c>
      <c r="B35" s="9" t="s">
        <v>39</v>
      </c>
      <c r="C35" s="9" t="s">
        <v>24</v>
      </c>
      <c r="D35" s="10">
        <v>4.01</v>
      </c>
    </row>
    <row r="36" spans="1:4" x14ac:dyDescent="0.2">
      <c r="A36" s="9" t="s">
        <v>54</v>
      </c>
      <c r="B36" s="9" t="s">
        <v>48</v>
      </c>
      <c r="C36" s="9" t="s">
        <v>29</v>
      </c>
      <c r="D36" s="10">
        <v>4.38</v>
      </c>
    </row>
    <row r="37" spans="1:4" x14ac:dyDescent="0.2">
      <c r="A37" s="9" t="s">
        <v>55</v>
      </c>
      <c r="B37" s="9" t="s">
        <v>23</v>
      </c>
      <c r="C37" s="9" t="s">
        <v>29</v>
      </c>
      <c r="D37" s="10">
        <v>9.0399999999999991</v>
      </c>
    </row>
    <row r="38" spans="1:4" x14ac:dyDescent="0.2">
      <c r="A38" s="9" t="s">
        <v>56</v>
      </c>
      <c r="B38" s="9" t="s">
        <v>28</v>
      </c>
      <c r="C38" s="9" t="s">
        <v>41</v>
      </c>
      <c r="D38" s="10">
        <v>9.92</v>
      </c>
    </row>
    <row r="39" spans="1:4" x14ac:dyDescent="0.2">
      <c r="A39" s="9" t="s">
        <v>57</v>
      </c>
      <c r="B39" s="9" t="s">
        <v>23</v>
      </c>
      <c r="C39" s="9" t="s">
        <v>29</v>
      </c>
      <c r="D39" s="10">
        <v>7.06</v>
      </c>
    </row>
    <row r="40" spans="1:4" x14ac:dyDescent="0.2">
      <c r="A40" s="9" t="s">
        <v>58</v>
      </c>
      <c r="B40" s="9" t="s">
        <v>39</v>
      </c>
      <c r="C40" s="9" t="s">
        <v>41</v>
      </c>
      <c r="D40" s="10">
        <v>2.92</v>
      </c>
    </row>
    <row r="41" spans="1:4" x14ac:dyDescent="0.2">
      <c r="A41" s="9" t="s">
        <v>59</v>
      </c>
      <c r="B41" s="9" t="s">
        <v>28</v>
      </c>
      <c r="C41" s="9" t="s">
        <v>24</v>
      </c>
      <c r="D41" s="10">
        <v>3.13</v>
      </c>
    </row>
    <row r="42" spans="1:4" x14ac:dyDescent="0.2">
      <c r="A42" s="9" t="s">
        <v>60</v>
      </c>
      <c r="B42" s="9" t="s">
        <v>28</v>
      </c>
      <c r="C42" s="9" t="s">
        <v>24</v>
      </c>
      <c r="D42" s="10">
        <v>4.17</v>
      </c>
    </row>
    <row r="43" spans="1:4" x14ac:dyDescent="0.2">
      <c r="A43" s="9" t="s">
        <v>61</v>
      </c>
      <c r="B43" s="9" t="s">
        <v>23</v>
      </c>
      <c r="C43" s="9" t="s">
        <v>24</v>
      </c>
      <c r="D43" s="10">
        <v>1.54</v>
      </c>
    </row>
    <row r="44" spans="1:4" x14ac:dyDescent="0.2">
      <c r="A44" s="9" t="s">
        <v>62</v>
      </c>
      <c r="B44" s="9" t="s">
        <v>23</v>
      </c>
      <c r="C44" s="9" t="s">
        <v>24</v>
      </c>
      <c r="D44" s="10">
        <v>2.59</v>
      </c>
    </row>
    <row r="45" spans="1:4" x14ac:dyDescent="0.2">
      <c r="A45" s="9" t="s">
        <v>63</v>
      </c>
      <c r="B45" s="9" t="s">
        <v>23</v>
      </c>
      <c r="C45" s="9" t="s">
        <v>29</v>
      </c>
      <c r="D45" s="10">
        <v>6.42</v>
      </c>
    </row>
    <row r="46" spans="1:4" x14ac:dyDescent="0.2">
      <c r="A46" s="9" t="s">
        <v>64</v>
      </c>
      <c r="B46" s="9" t="s">
        <v>39</v>
      </c>
      <c r="C46" s="9" t="s">
        <v>24</v>
      </c>
      <c r="D46" s="10">
        <v>0.61</v>
      </c>
    </row>
    <row r="47" spans="1:4" x14ac:dyDescent="0.2">
      <c r="A47" s="9" t="s">
        <v>65</v>
      </c>
      <c r="B47" s="9" t="s">
        <v>48</v>
      </c>
      <c r="C47" s="9" t="s">
        <v>29</v>
      </c>
      <c r="D47" s="10">
        <v>6.51</v>
      </c>
    </row>
    <row r="48" spans="1:4" x14ac:dyDescent="0.2">
      <c r="A48" s="9" t="s">
        <v>66</v>
      </c>
      <c r="B48" s="9" t="s">
        <v>23</v>
      </c>
      <c r="C48" s="9" t="s">
        <v>41</v>
      </c>
      <c r="D48" s="10">
        <v>5.39</v>
      </c>
    </row>
    <row r="49" spans="1:4" x14ac:dyDescent="0.2">
      <c r="A49" s="9" t="s">
        <v>67</v>
      </c>
      <c r="B49" s="9" t="s">
        <v>39</v>
      </c>
      <c r="C49" s="9" t="s">
        <v>24</v>
      </c>
      <c r="D49" s="10">
        <v>5.35</v>
      </c>
    </row>
    <row r="50" spans="1:4" x14ac:dyDescent="0.2">
      <c r="A50" s="9" t="s">
        <v>68</v>
      </c>
      <c r="B50" s="9" t="s">
        <v>28</v>
      </c>
      <c r="C50" s="9" t="s">
        <v>24</v>
      </c>
      <c r="D50" s="10">
        <v>1.4</v>
      </c>
    </row>
    <row r="51" spans="1:4" x14ac:dyDescent="0.2">
      <c r="A51" s="9" t="s">
        <v>69</v>
      </c>
      <c r="B51" s="9" t="s">
        <v>39</v>
      </c>
      <c r="C51" s="9" t="s">
        <v>41</v>
      </c>
      <c r="D51" s="10">
        <v>0.39</v>
      </c>
    </row>
    <row r="52" spans="1:4" x14ac:dyDescent="0.2">
      <c r="A52" s="9" t="s">
        <v>70</v>
      </c>
      <c r="B52" s="9" t="s">
        <v>39</v>
      </c>
      <c r="C52" s="9" t="s">
        <v>24</v>
      </c>
      <c r="D52" s="10">
        <v>5.0999999999999996</v>
      </c>
    </row>
    <row r="53" spans="1:4" x14ac:dyDescent="0.2">
      <c r="A53" s="9" t="s">
        <v>71</v>
      </c>
      <c r="B53" s="9" t="s">
        <v>39</v>
      </c>
      <c r="C53" s="9" t="s">
        <v>29</v>
      </c>
      <c r="D53" s="10">
        <v>6.77</v>
      </c>
    </row>
    <row r="54" spans="1:4" x14ac:dyDescent="0.2">
      <c r="A54" s="9" t="s">
        <v>72</v>
      </c>
      <c r="B54" s="9" t="s">
        <v>39</v>
      </c>
      <c r="C54" s="9" t="s">
        <v>41</v>
      </c>
      <c r="D54" s="10">
        <v>1.1399999999999999</v>
      </c>
    </row>
    <row r="55" spans="1:4" x14ac:dyDescent="0.2">
      <c r="A55" s="9" t="s">
        <v>73</v>
      </c>
      <c r="B55" s="9" t="s">
        <v>39</v>
      </c>
      <c r="C55" s="9" t="s">
        <v>24</v>
      </c>
      <c r="D55" s="10">
        <v>4.6900000000000004</v>
      </c>
    </row>
    <row r="56" spans="1:4" x14ac:dyDescent="0.2">
      <c r="A56" s="9" t="s">
        <v>74</v>
      </c>
      <c r="B56" s="9" t="s">
        <v>23</v>
      </c>
      <c r="C56" s="9" t="s">
        <v>29</v>
      </c>
      <c r="D56" s="10">
        <v>7.06</v>
      </c>
    </row>
    <row r="57" spans="1:4" x14ac:dyDescent="0.2">
      <c r="A57" s="9" t="s">
        <v>76</v>
      </c>
      <c r="B57" s="9" t="s">
        <v>48</v>
      </c>
      <c r="C57" s="9" t="s">
        <v>41</v>
      </c>
      <c r="D57" s="10">
        <v>0.3</v>
      </c>
    </row>
    <row r="58" spans="1:4" x14ac:dyDescent="0.2">
      <c r="A58" s="9" t="s">
        <v>77</v>
      </c>
      <c r="B58" s="9" t="s">
        <v>39</v>
      </c>
      <c r="C58" s="9" t="s">
        <v>41</v>
      </c>
      <c r="D58" s="10">
        <v>5.26</v>
      </c>
    </row>
    <row r="59" spans="1:4" x14ac:dyDescent="0.2">
      <c r="A59" s="9" t="s">
        <v>78</v>
      </c>
      <c r="B59" s="9" t="s">
        <v>28</v>
      </c>
      <c r="C59" s="9" t="s">
        <v>24</v>
      </c>
      <c r="D59" s="10">
        <v>5.64</v>
      </c>
    </row>
    <row r="60" spans="1:4" x14ac:dyDescent="0.2">
      <c r="A60" s="9" t="s">
        <v>79</v>
      </c>
      <c r="B60" s="9" t="s">
        <v>28</v>
      </c>
      <c r="C60" s="9" t="s">
        <v>24</v>
      </c>
      <c r="D60" s="10">
        <v>2.14</v>
      </c>
    </row>
    <row r="61" spans="1:4" x14ac:dyDescent="0.2">
      <c r="A61" s="9" t="s">
        <v>80</v>
      </c>
      <c r="B61" s="9" t="s">
        <v>48</v>
      </c>
      <c r="C61" s="9" t="s">
        <v>29</v>
      </c>
      <c r="D61" s="10">
        <v>3.45</v>
      </c>
    </row>
    <row r="62" spans="1:4" x14ac:dyDescent="0.2">
      <c r="A62" s="9" t="s">
        <v>81</v>
      </c>
      <c r="B62" s="9" t="s">
        <v>23</v>
      </c>
      <c r="C62" s="9" t="s">
        <v>24</v>
      </c>
      <c r="D62" s="10">
        <v>3.4</v>
      </c>
    </row>
    <row r="63" spans="1:4" x14ac:dyDescent="0.2">
      <c r="A63" s="9" t="s">
        <v>82</v>
      </c>
      <c r="B63" s="9" t="s">
        <v>48</v>
      </c>
      <c r="C63" s="9" t="s">
        <v>24</v>
      </c>
      <c r="D63" s="10">
        <v>1.93</v>
      </c>
    </row>
    <row r="64" spans="1:4" x14ac:dyDescent="0.2">
      <c r="A64" s="9" t="s">
        <v>83</v>
      </c>
      <c r="B64" s="9" t="s">
        <v>23</v>
      </c>
      <c r="C64" s="9" t="s">
        <v>29</v>
      </c>
      <c r="D64" s="9">
        <v>5</v>
      </c>
    </row>
    <row r="65" spans="1:4" x14ac:dyDescent="0.2">
      <c r="A65" s="9" t="s">
        <v>84</v>
      </c>
      <c r="B65" s="9" t="s">
        <v>39</v>
      </c>
      <c r="C65" s="9" t="s">
        <v>24</v>
      </c>
      <c r="D65" s="10">
        <v>5.53</v>
      </c>
    </row>
    <row r="66" spans="1:4" x14ac:dyDescent="0.2">
      <c r="A66" s="9" t="s">
        <v>85</v>
      </c>
      <c r="B66" s="9" t="s">
        <v>39</v>
      </c>
      <c r="C66" s="9" t="s">
        <v>41</v>
      </c>
      <c r="D66" s="10">
        <v>1.32</v>
      </c>
    </row>
    <row r="67" spans="1:4" x14ac:dyDescent="0.2">
      <c r="A67" s="9" t="s">
        <v>86</v>
      </c>
      <c r="B67" s="9" t="s">
        <v>48</v>
      </c>
      <c r="C67" s="9" t="s">
        <v>29</v>
      </c>
      <c r="D67" s="10">
        <v>2.69</v>
      </c>
    </row>
    <row r="68" spans="1:4" x14ac:dyDescent="0.2">
      <c r="A68" s="9" t="s">
        <v>87</v>
      </c>
      <c r="B68" s="9" t="s">
        <v>39</v>
      </c>
      <c r="C68" s="9" t="s">
        <v>29</v>
      </c>
      <c r="D68" s="10">
        <v>9.57</v>
      </c>
    </row>
    <row r="69" spans="1:4" x14ac:dyDescent="0.2">
      <c r="A69" s="9" t="s">
        <v>88</v>
      </c>
      <c r="B69" s="9" t="s">
        <v>48</v>
      </c>
      <c r="C69" s="9" t="s">
        <v>29</v>
      </c>
      <c r="D69" s="10">
        <v>2.52</v>
      </c>
    </row>
    <row r="70" spans="1:4" x14ac:dyDescent="0.2">
      <c r="A70" s="9" t="s">
        <v>89</v>
      </c>
      <c r="B70" s="9" t="s">
        <v>28</v>
      </c>
      <c r="C70" s="9" t="s">
        <v>24</v>
      </c>
      <c r="D70" s="10">
        <v>2.77</v>
      </c>
    </row>
    <row r="71" spans="1:4" x14ac:dyDescent="0.2">
      <c r="A71" s="9" t="s">
        <v>90</v>
      </c>
      <c r="B71" s="9" t="s">
        <v>39</v>
      </c>
      <c r="C71" s="9" t="s">
        <v>41</v>
      </c>
      <c r="D71" s="10">
        <v>2.21</v>
      </c>
    </row>
    <row r="72" spans="1:4" x14ac:dyDescent="0.2">
      <c r="A72" s="9" t="s">
        <v>91</v>
      </c>
      <c r="B72" s="9" t="s">
        <v>23</v>
      </c>
      <c r="C72" s="9" t="s">
        <v>24</v>
      </c>
      <c r="D72" s="10">
        <v>2.2000000000000002</v>
      </c>
    </row>
    <row r="73" spans="1:4" x14ac:dyDescent="0.2">
      <c r="A73" s="9" t="s">
        <v>92</v>
      </c>
      <c r="B73" s="9" t="s">
        <v>23</v>
      </c>
      <c r="C73" s="9" t="s">
        <v>29</v>
      </c>
      <c r="D73" s="10">
        <v>6.35</v>
      </c>
    </row>
    <row r="74" spans="1:4" x14ac:dyDescent="0.2">
      <c r="A74" s="9" t="s">
        <v>93</v>
      </c>
      <c r="B74" s="9" t="s">
        <v>48</v>
      </c>
      <c r="C74" s="9" t="s">
        <v>29</v>
      </c>
      <c r="D74" s="10">
        <v>1.66</v>
      </c>
    </row>
    <row r="75" spans="1:4" x14ac:dyDescent="0.2">
      <c r="A75" s="9" t="s">
        <v>94</v>
      </c>
      <c r="B75" s="9" t="s">
        <v>28</v>
      </c>
      <c r="C75" s="9" t="s">
        <v>24</v>
      </c>
      <c r="D75" s="10">
        <v>5.98</v>
      </c>
    </row>
    <row r="76" spans="1:4" x14ac:dyDescent="0.2">
      <c r="A76" s="9" t="s">
        <v>95</v>
      </c>
      <c r="B76" s="9" t="s">
        <v>39</v>
      </c>
      <c r="C76" s="9" t="s">
        <v>29</v>
      </c>
      <c r="D76" s="10">
        <v>4.3</v>
      </c>
    </row>
    <row r="77" spans="1:4" x14ac:dyDescent="0.2">
      <c r="A77" s="9" t="s">
        <v>96</v>
      </c>
      <c r="B77" s="9" t="s">
        <v>48</v>
      </c>
      <c r="C77" s="9" t="s">
        <v>29</v>
      </c>
      <c r="D77" s="10">
        <v>3.97</v>
      </c>
    </row>
    <row r="78" spans="1:4" x14ac:dyDescent="0.2">
      <c r="A78" s="9" t="s">
        <v>97</v>
      </c>
      <c r="B78" s="9" t="s">
        <v>28</v>
      </c>
      <c r="C78" s="9" t="s">
        <v>41</v>
      </c>
      <c r="D78" s="10">
        <v>2.36</v>
      </c>
    </row>
    <row r="79" spans="1:4" x14ac:dyDescent="0.2">
      <c r="A79" s="9" t="s">
        <v>98</v>
      </c>
      <c r="B79" s="9" t="s">
        <v>39</v>
      </c>
      <c r="C79" s="9" t="s">
        <v>41</v>
      </c>
      <c r="D79" s="10">
        <v>3.59</v>
      </c>
    </row>
  </sheetData>
  <autoFilter ref="A19:D7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showGridLines="0" zoomScaleNormal="100" workbookViewId="0">
      <pane ySplit="12" topLeftCell="A13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  <col min="4" max="4" width="21" customWidth="1"/>
    <col min="5" max="5" width="19" customWidth="1"/>
  </cols>
  <sheetData>
    <row r="1" spans="1:5" ht="20" x14ac:dyDescent="0.25">
      <c r="A1" s="1" t="s">
        <v>122</v>
      </c>
    </row>
    <row r="2" spans="1:5" x14ac:dyDescent="0.2">
      <c r="A2" s="2" t="s">
        <v>123</v>
      </c>
    </row>
    <row r="4" spans="1:5" x14ac:dyDescent="0.2">
      <c r="A4" s="3" t="s">
        <v>2</v>
      </c>
      <c r="B4" s="3" t="s">
        <v>3</v>
      </c>
      <c r="C4" s="4" t="s">
        <v>4</v>
      </c>
    </row>
    <row r="5" spans="1:5" ht="30" customHeight="1" x14ac:dyDescent="0.2">
      <c r="A5" s="5">
        <v>1</v>
      </c>
      <c r="B5" s="6" t="s">
        <v>124</v>
      </c>
      <c r="C5" s="7">
        <f>CORREL(B13:B72,D13:D72)</f>
        <v>0.4397588362480771</v>
      </c>
    </row>
    <row r="6" spans="1:5" ht="30" customHeight="1" x14ac:dyDescent="0.2">
      <c r="A6" s="5">
        <v>2</v>
      </c>
      <c r="B6" s="6" t="s">
        <v>125</v>
      </c>
      <c r="C6" s="7">
        <f>CORREL(D13:D72,E13:E72)</f>
        <v>-0.52564224471436549</v>
      </c>
    </row>
    <row r="7" spans="1:5" ht="30" customHeight="1" x14ac:dyDescent="0.2">
      <c r="A7" s="5">
        <v>3</v>
      </c>
      <c r="B7" s="6" t="s">
        <v>126</v>
      </c>
      <c r="C7" s="7">
        <f>CORREL(C13:C72,D13:D72)</f>
        <v>0.63346318795664369</v>
      </c>
    </row>
    <row r="8" spans="1:5" ht="30" customHeight="1" x14ac:dyDescent="0.2">
      <c r="A8" s="5">
        <v>4</v>
      </c>
      <c r="B8" s="6" t="s">
        <v>127</v>
      </c>
      <c r="C8" s="7" t="s">
        <v>128</v>
      </c>
    </row>
    <row r="9" spans="1:5" ht="30" customHeight="1" x14ac:dyDescent="0.2">
      <c r="A9" s="5">
        <v>5</v>
      </c>
      <c r="B9" s="6" t="s">
        <v>129</v>
      </c>
      <c r="C9" s="7" t="s">
        <v>130</v>
      </c>
    </row>
    <row r="11" spans="1:5" x14ac:dyDescent="0.2">
      <c r="A11" s="2" t="s">
        <v>13</v>
      </c>
    </row>
    <row r="12" spans="1:5" x14ac:dyDescent="0.2">
      <c r="A12" s="8" t="s">
        <v>14</v>
      </c>
      <c r="B12" s="8" t="s">
        <v>131</v>
      </c>
      <c r="C12" s="8" t="s">
        <v>132</v>
      </c>
      <c r="D12" s="8" t="s">
        <v>19</v>
      </c>
      <c r="E12" s="8" t="s">
        <v>110</v>
      </c>
    </row>
    <row r="13" spans="1:5" x14ac:dyDescent="0.2">
      <c r="A13" s="9" t="s">
        <v>20</v>
      </c>
      <c r="B13" s="9">
        <v>2</v>
      </c>
      <c r="C13" s="9">
        <v>0</v>
      </c>
      <c r="D13" s="10">
        <v>4.41</v>
      </c>
      <c r="E13" s="9">
        <v>4</v>
      </c>
    </row>
    <row r="14" spans="1:5" x14ac:dyDescent="0.2">
      <c r="A14" s="9" t="s">
        <v>25</v>
      </c>
      <c r="B14" s="9">
        <v>11</v>
      </c>
      <c r="C14" s="9">
        <v>1</v>
      </c>
      <c r="D14" s="10">
        <v>8.94</v>
      </c>
      <c r="E14" s="9">
        <v>4</v>
      </c>
    </row>
    <row r="15" spans="1:5" x14ac:dyDescent="0.2">
      <c r="A15" s="9" t="s">
        <v>30</v>
      </c>
      <c r="B15" s="9">
        <v>2</v>
      </c>
      <c r="C15" s="9">
        <v>0</v>
      </c>
      <c r="D15" s="10">
        <v>3.54</v>
      </c>
      <c r="E15" s="9">
        <v>5</v>
      </c>
    </row>
    <row r="16" spans="1:5" x14ac:dyDescent="0.2">
      <c r="A16" s="9" t="s">
        <v>32</v>
      </c>
      <c r="B16" s="9">
        <v>4</v>
      </c>
      <c r="C16" s="9">
        <v>0</v>
      </c>
      <c r="D16" s="10">
        <v>4.7300000000000004</v>
      </c>
      <c r="E16" s="9">
        <v>4</v>
      </c>
    </row>
    <row r="17" spans="1:5" x14ac:dyDescent="0.2">
      <c r="A17" s="9" t="s">
        <v>35</v>
      </c>
      <c r="B17" s="9">
        <v>3</v>
      </c>
      <c r="C17" s="9">
        <v>0</v>
      </c>
      <c r="D17" s="10">
        <v>5.32</v>
      </c>
      <c r="E17" s="9">
        <v>4</v>
      </c>
    </row>
    <row r="18" spans="1:5" x14ac:dyDescent="0.2">
      <c r="A18" s="9" t="s">
        <v>37</v>
      </c>
      <c r="B18" s="9">
        <v>15</v>
      </c>
      <c r="C18" s="9">
        <v>1</v>
      </c>
      <c r="D18" s="10">
        <v>10.77</v>
      </c>
      <c r="E18" s="9">
        <v>4</v>
      </c>
    </row>
    <row r="19" spans="1:5" x14ac:dyDescent="0.2">
      <c r="A19" s="9" t="s">
        <v>40</v>
      </c>
      <c r="B19" s="9">
        <v>7</v>
      </c>
      <c r="C19" s="9">
        <v>0</v>
      </c>
      <c r="D19" s="10">
        <v>4.4400000000000004</v>
      </c>
      <c r="E19" s="9">
        <v>4</v>
      </c>
    </row>
    <row r="20" spans="1:5" x14ac:dyDescent="0.2">
      <c r="A20" s="9" t="s">
        <v>42</v>
      </c>
      <c r="B20" s="9">
        <v>4</v>
      </c>
      <c r="C20" s="9">
        <v>0</v>
      </c>
      <c r="D20" s="10">
        <v>2.11</v>
      </c>
      <c r="E20" s="9">
        <v>4</v>
      </c>
    </row>
    <row r="21" spans="1:5" x14ac:dyDescent="0.2">
      <c r="A21" s="9" t="s">
        <v>43</v>
      </c>
      <c r="B21" s="9">
        <v>15</v>
      </c>
      <c r="C21" s="9">
        <v>1</v>
      </c>
      <c r="D21" s="10">
        <v>5.6</v>
      </c>
      <c r="E21" s="9">
        <v>3</v>
      </c>
    </row>
    <row r="22" spans="1:5" x14ac:dyDescent="0.2">
      <c r="A22" s="9" t="s">
        <v>45</v>
      </c>
      <c r="B22" s="9">
        <v>15</v>
      </c>
      <c r="C22" s="9">
        <v>1</v>
      </c>
      <c r="D22" s="10">
        <v>6.36</v>
      </c>
      <c r="E22" s="9">
        <v>3</v>
      </c>
    </row>
    <row r="23" spans="1:5" x14ac:dyDescent="0.2">
      <c r="A23" s="9" t="s">
        <v>47</v>
      </c>
      <c r="B23" s="9">
        <v>13</v>
      </c>
      <c r="C23" s="9">
        <v>1</v>
      </c>
      <c r="D23" s="10">
        <v>7.65</v>
      </c>
      <c r="E23" s="9">
        <v>3</v>
      </c>
    </row>
    <row r="24" spans="1:5" x14ac:dyDescent="0.2">
      <c r="A24" s="9" t="s">
        <v>49</v>
      </c>
      <c r="B24" s="9">
        <v>5</v>
      </c>
      <c r="C24" s="9">
        <v>0</v>
      </c>
      <c r="D24" s="10">
        <v>5.0199999999999996</v>
      </c>
      <c r="E24" s="9">
        <v>4</v>
      </c>
    </row>
    <row r="25" spans="1:5" x14ac:dyDescent="0.2">
      <c r="A25" s="9" t="s">
        <v>50</v>
      </c>
      <c r="B25" s="9">
        <v>9</v>
      </c>
      <c r="C25" s="9">
        <v>0</v>
      </c>
      <c r="D25" s="10">
        <v>2.95</v>
      </c>
      <c r="E25" s="9">
        <v>5</v>
      </c>
    </row>
    <row r="26" spans="1:5" x14ac:dyDescent="0.2">
      <c r="A26" s="9" t="s">
        <v>51</v>
      </c>
      <c r="B26" s="9">
        <v>15</v>
      </c>
      <c r="C26" s="9">
        <v>1</v>
      </c>
      <c r="D26" s="10">
        <v>7.73</v>
      </c>
      <c r="E26" s="9">
        <v>3</v>
      </c>
    </row>
    <row r="27" spans="1:5" x14ac:dyDescent="0.2">
      <c r="A27" s="9" t="s">
        <v>52</v>
      </c>
      <c r="B27" s="9">
        <v>15</v>
      </c>
      <c r="C27" s="9">
        <v>1</v>
      </c>
      <c r="D27" s="10">
        <v>8.1199999999999992</v>
      </c>
      <c r="E27" s="9">
        <v>3</v>
      </c>
    </row>
    <row r="28" spans="1:5" x14ac:dyDescent="0.2">
      <c r="A28" s="9" t="s">
        <v>53</v>
      </c>
      <c r="B28" s="9">
        <v>4</v>
      </c>
      <c r="C28" s="9">
        <v>0</v>
      </c>
      <c r="D28" s="10">
        <v>4.01</v>
      </c>
      <c r="E28" s="9">
        <v>5</v>
      </c>
    </row>
    <row r="29" spans="1:5" x14ac:dyDescent="0.2">
      <c r="A29" s="9" t="s">
        <v>54</v>
      </c>
      <c r="B29" s="9">
        <v>15</v>
      </c>
      <c r="C29" s="9">
        <v>1</v>
      </c>
      <c r="D29" s="10">
        <v>4.38</v>
      </c>
      <c r="E29" s="9">
        <v>4</v>
      </c>
    </row>
    <row r="30" spans="1:5" x14ac:dyDescent="0.2">
      <c r="A30" s="9" t="s">
        <v>55</v>
      </c>
      <c r="B30" s="9">
        <v>15</v>
      </c>
      <c r="C30" s="9">
        <v>1</v>
      </c>
      <c r="D30" s="10">
        <v>9.0399999999999991</v>
      </c>
      <c r="E30" s="9">
        <v>3</v>
      </c>
    </row>
    <row r="31" spans="1:5" x14ac:dyDescent="0.2">
      <c r="A31" s="9" t="s">
        <v>56</v>
      </c>
      <c r="B31" s="9">
        <v>7</v>
      </c>
      <c r="C31" s="9">
        <v>1</v>
      </c>
      <c r="D31" s="10">
        <v>9.92</v>
      </c>
      <c r="E31" s="9">
        <v>3</v>
      </c>
    </row>
    <row r="32" spans="1:5" x14ac:dyDescent="0.2">
      <c r="A32" s="9" t="s">
        <v>57</v>
      </c>
      <c r="B32" s="9">
        <v>15</v>
      </c>
      <c r="C32" s="9">
        <v>1</v>
      </c>
      <c r="D32" s="10">
        <v>7.06</v>
      </c>
      <c r="E32" s="9">
        <v>4</v>
      </c>
    </row>
    <row r="33" spans="1:5" x14ac:dyDescent="0.2">
      <c r="A33" s="9" t="s">
        <v>58</v>
      </c>
      <c r="B33" s="9">
        <v>5</v>
      </c>
      <c r="C33" s="9">
        <v>0</v>
      </c>
      <c r="D33" s="10">
        <v>2.92</v>
      </c>
      <c r="E33" s="9">
        <v>5</v>
      </c>
    </row>
    <row r="34" spans="1:5" x14ac:dyDescent="0.2">
      <c r="A34" s="9" t="s">
        <v>59</v>
      </c>
      <c r="B34" s="9">
        <v>2</v>
      </c>
      <c r="C34" s="9">
        <v>0</v>
      </c>
      <c r="D34" s="10">
        <v>3.13</v>
      </c>
      <c r="E34" s="9">
        <v>4</v>
      </c>
    </row>
    <row r="35" spans="1:5" x14ac:dyDescent="0.2">
      <c r="A35" s="9" t="s">
        <v>60</v>
      </c>
      <c r="B35" s="9">
        <v>2</v>
      </c>
      <c r="C35" s="9">
        <v>0</v>
      </c>
      <c r="D35" s="10">
        <v>4.17</v>
      </c>
      <c r="E35" s="9">
        <v>4</v>
      </c>
    </row>
    <row r="36" spans="1:5" x14ac:dyDescent="0.2">
      <c r="A36" s="9" t="s">
        <v>61</v>
      </c>
      <c r="B36" s="9">
        <v>4</v>
      </c>
      <c r="C36" s="9">
        <v>0</v>
      </c>
      <c r="D36" s="10">
        <v>1.54</v>
      </c>
      <c r="E36" s="9">
        <v>5</v>
      </c>
    </row>
    <row r="37" spans="1:5" x14ac:dyDescent="0.2">
      <c r="A37" s="9" t="s">
        <v>62</v>
      </c>
      <c r="B37" s="9">
        <v>2</v>
      </c>
      <c r="C37" s="9">
        <v>0</v>
      </c>
      <c r="D37" s="10">
        <v>2.59</v>
      </c>
      <c r="E37" s="9">
        <v>5</v>
      </c>
    </row>
    <row r="38" spans="1:5" x14ac:dyDescent="0.2">
      <c r="A38" s="9" t="s">
        <v>63</v>
      </c>
      <c r="B38" s="9">
        <v>15</v>
      </c>
      <c r="C38" s="9">
        <v>1</v>
      </c>
      <c r="D38" s="10">
        <v>6.42</v>
      </c>
      <c r="E38" s="9">
        <v>4</v>
      </c>
    </row>
    <row r="39" spans="1:5" x14ac:dyDescent="0.2">
      <c r="A39" s="9" t="s">
        <v>64</v>
      </c>
      <c r="B39" s="9">
        <v>2</v>
      </c>
      <c r="C39" s="9">
        <v>0</v>
      </c>
      <c r="D39" s="10">
        <v>0.61</v>
      </c>
      <c r="E39" s="9">
        <v>4</v>
      </c>
    </row>
    <row r="40" spans="1:5" x14ac:dyDescent="0.2">
      <c r="A40" s="9" t="s">
        <v>65</v>
      </c>
      <c r="B40" s="9">
        <v>15</v>
      </c>
      <c r="C40" s="9">
        <v>1</v>
      </c>
      <c r="D40" s="10">
        <v>6.51</v>
      </c>
      <c r="E40" s="9">
        <v>3</v>
      </c>
    </row>
    <row r="41" spans="1:5" x14ac:dyDescent="0.2">
      <c r="A41" s="9" t="s">
        <v>66</v>
      </c>
      <c r="B41" s="9">
        <v>7</v>
      </c>
      <c r="C41" s="9">
        <v>0</v>
      </c>
      <c r="D41" s="10">
        <v>5.39</v>
      </c>
      <c r="E41" s="9">
        <v>4</v>
      </c>
    </row>
    <row r="42" spans="1:5" x14ac:dyDescent="0.2">
      <c r="A42" s="9" t="s">
        <v>67</v>
      </c>
      <c r="B42" s="9">
        <v>4</v>
      </c>
      <c r="C42" s="9">
        <v>0</v>
      </c>
      <c r="D42" s="10">
        <v>5.35</v>
      </c>
      <c r="E42" s="9">
        <v>4</v>
      </c>
    </row>
    <row r="43" spans="1:5" x14ac:dyDescent="0.2">
      <c r="A43" s="9" t="s">
        <v>68</v>
      </c>
      <c r="B43" s="9">
        <v>4</v>
      </c>
      <c r="C43" s="9">
        <v>0</v>
      </c>
      <c r="D43" s="10">
        <v>1.4</v>
      </c>
      <c r="E43" s="9">
        <v>5</v>
      </c>
    </row>
    <row r="44" spans="1:5" x14ac:dyDescent="0.2">
      <c r="A44" s="9" t="s">
        <v>69</v>
      </c>
      <c r="B44" s="9">
        <v>8</v>
      </c>
      <c r="C44" s="9">
        <v>0</v>
      </c>
      <c r="D44" s="10">
        <v>0.39</v>
      </c>
      <c r="E44" s="9">
        <v>4</v>
      </c>
    </row>
    <row r="45" spans="1:5" x14ac:dyDescent="0.2">
      <c r="A45" s="9" t="s">
        <v>70</v>
      </c>
      <c r="B45" s="9">
        <v>2</v>
      </c>
      <c r="C45" s="9">
        <v>0</v>
      </c>
      <c r="D45" s="10">
        <v>5.0999999999999996</v>
      </c>
      <c r="E45" s="9">
        <v>4</v>
      </c>
    </row>
    <row r="46" spans="1:5" x14ac:dyDescent="0.2">
      <c r="A46" s="9" t="s">
        <v>71</v>
      </c>
      <c r="B46" s="9">
        <v>13</v>
      </c>
      <c r="C46" s="9">
        <v>1</v>
      </c>
      <c r="D46" s="10">
        <v>6.77</v>
      </c>
      <c r="E46" s="9">
        <v>3</v>
      </c>
    </row>
    <row r="47" spans="1:5" x14ac:dyDescent="0.2">
      <c r="A47" s="9" t="s">
        <v>72</v>
      </c>
      <c r="B47" s="9">
        <v>8</v>
      </c>
      <c r="C47" s="9">
        <v>0</v>
      </c>
      <c r="D47" s="10">
        <v>1.1399999999999999</v>
      </c>
      <c r="E47" s="9">
        <v>5</v>
      </c>
    </row>
    <row r="48" spans="1:5" x14ac:dyDescent="0.2">
      <c r="A48" s="9" t="s">
        <v>73</v>
      </c>
      <c r="B48" s="9">
        <v>4</v>
      </c>
      <c r="C48" s="9">
        <v>0</v>
      </c>
      <c r="D48" s="10">
        <v>4.6900000000000004</v>
      </c>
      <c r="E48" s="9">
        <v>3</v>
      </c>
    </row>
    <row r="49" spans="1:5" x14ac:dyDescent="0.2">
      <c r="A49" s="9" t="s">
        <v>74</v>
      </c>
      <c r="B49" s="9">
        <v>13</v>
      </c>
      <c r="C49" s="9">
        <v>1</v>
      </c>
      <c r="D49" s="10">
        <v>7.06</v>
      </c>
      <c r="E49" s="9">
        <v>5</v>
      </c>
    </row>
    <row r="50" spans="1:5" x14ac:dyDescent="0.2">
      <c r="A50" s="9" t="s">
        <v>76</v>
      </c>
      <c r="B50" s="9">
        <v>8</v>
      </c>
      <c r="C50" s="9">
        <v>0</v>
      </c>
      <c r="D50" s="10">
        <v>0.3</v>
      </c>
      <c r="E50" s="9">
        <v>5</v>
      </c>
    </row>
    <row r="51" spans="1:5" x14ac:dyDescent="0.2">
      <c r="A51" s="9" t="s">
        <v>77</v>
      </c>
      <c r="B51" s="9">
        <v>7</v>
      </c>
      <c r="C51" s="9">
        <v>1</v>
      </c>
      <c r="D51" s="10">
        <v>5.26</v>
      </c>
      <c r="E51" s="9">
        <v>5</v>
      </c>
    </row>
    <row r="52" spans="1:5" x14ac:dyDescent="0.2">
      <c r="A52" s="9" t="s">
        <v>78</v>
      </c>
      <c r="B52" s="9">
        <v>2</v>
      </c>
      <c r="C52" s="9">
        <v>0</v>
      </c>
      <c r="D52" s="10">
        <v>5.64</v>
      </c>
      <c r="E52" s="9">
        <v>4</v>
      </c>
    </row>
    <row r="53" spans="1:5" x14ac:dyDescent="0.2">
      <c r="A53" s="9" t="s">
        <v>79</v>
      </c>
      <c r="B53" s="9">
        <v>2</v>
      </c>
      <c r="C53" s="9">
        <v>0</v>
      </c>
      <c r="D53" s="10">
        <v>2.14</v>
      </c>
      <c r="E53" s="9">
        <v>4</v>
      </c>
    </row>
    <row r="54" spans="1:5" x14ac:dyDescent="0.2">
      <c r="A54" s="9" t="s">
        <v>80</v>
      </c>
      <c r="B54" s="9">
        <v>15</v>
      </c>
      <c r="C54" s="9">
        <v>1</v>
      </c>
      <c r="D54" s="10">
        <v>3.45</v>
      </c>
      <c r="E54" s="9">
        <v>4</v>
      </c>
    </row>
    <row r="55" spans="1:5" x14ac:dyDescent="0.2">
      <c r="A55" s="9" t="s">
        <v>81</v>
      </c>
      <c r="B55" s="9">
        <v>4</v>
      </c>
      <c r="C55" s="9">
        <v>0</v>
      </c>
      <c r="D55" s="10">
        <v>3.4</v>
      </c>
      <c r="E55" s="9">
        <v>4</v>
      </c>
    </row>
    <row r="56" spans="1:5" x14ac:dyDescent="0.2">
      <c r="A56" s="9" t="s">
        <v>82</v>
      </c>
      <c r="B56" s="9">
        <v>2</v>
      </c>
      <c r="C56" s="9">
        <v>0</v>
      </c>
      <c r="D56" s="10">
        <v>1.93</v>
      </c>
      <c r="E56" s="9">
        <v>4</v>
      </c>
    </row>
    <row r="57" spans="1:5" x14ac:dyDescent="0.2">
      <c r="A57" s="9" t="s">
        <v>83</v>
      </c>
      <c r="B57" s="9">
        <v>15</v>
      </c>
      <c r="C57" s="9">
        <v>1</v>
      </c>
      <c r="D57" s="9">
        <v>5</v>
      </c>
      <c r="E57" s="9">
        <v>4</v>
      </c>
    </row>
    <row r="58" spans="1:5" x14ac:dyDescent="0.2">
      <c r="A58" s="9" t="s">
        <v>84</v>
      </c>
      <c r="B58" s="9">
        <v>2</v>
      </c>
      <c r="C58" s="9">
        <v>0</v>
      </c>
      <c r="D58" s="10">
        <v>5.53</v>
      </c>
      <c r="E58" s="9">
        <v>5</v>
      </c>
    </row>
    <row r="59" spans="1:5" x14ac:dyDescent="0.2">
      <c r="A59" s="9" t="s">
        <v>85</v>
      </c>
      <c r="B59" s="9">
        <v>9</v>
      </c>
      <c r="C59" s="9">
        <v>0</v>
      </c>
      <c r="D59" s="10">
        <v>1.32</v>
      </c>
      <c r="E59" s="9">
        <v>4</v>
      </c>
    </row>
    <row r="60" spans="1:5" x14ac:dyDescent="0.2">
      <c r="A60" s="9" t="s">
        <v>86</v>
      </c>
      <c r="B60" s="9">
        <v>15</v>
      </c>
      <c r="C60" s="9">
        <v>1</v>
      </c>
      <c r="D60" s="10">
        <v>2.69</v>
      </c>
      <c r="E60" s="9">
        <v>3</v>
      </c>
    </row>
    <row r="61" spans="1:5" x14ac:dyDescent="0.2">
      <c r="A61" s="9" t="s">
        <v>87</v>
      </c>
      <c r="B61" s="9">
        <v>15</v>
      </c>
      <c r="C61" s="9">
        <v>1</v>
      </c>
      <c r="D61" s="10">
        <v>9.57</v>
      </c>
      <c r="E61" s="9">
        <v>3</v>
      </c>
    </row>
    <row r="62" spans="1:5" x14ac:dyDescent="0.2">
      <c r="A62" s="9" t="s">
        <v>88</v>
      </c>
      <c r="B62" s="9">
        <v>13</v>
      </c>
      <c r="C62" s="9">
        <v>0</v>
      </c>
      <c r="D62" s="10">
        <v>2.52</v>
      </c>
      <c r="E62" s="9">
        <v>4</v>
      </c>
    </row>
    <row r="63" spans="1:5" x14ac:dyDescent="0.2">
      <c r="A63" s="9" t="s">
        <v>89</v>
      </c>
      <c r="B63" s="9">
        <v>4</v>
      </c>
      <c r="C63" s="9">
        <v>0</v>
      </c>
      <c r="D63" s="10">
        <v>2.77</v>
      </c>
      <c r="E63" s="9">
        <v>4</v>
      </c>
    </row>
    <row r="64" spans="1:5" x14ac:dyDescent="0.2">
      <c r="A64" s="9" t="s">
        <v>90</v>
      </c>
      <c r="B64" s="9">
        <v>9</v>
      </c>
      <c r="C64" s="9">
        <v>0</v>
      </c>
      <c r="D64" s="10">
        <v>2.21</v>
      </c>
      <c r="E64" s="9">
        <v>5</v>
      </c>
    </row>
    <row r="65" spans="1:5" x14ac:dyDescent="0.2">
      <c r="A65" s="9" t="s">
        <v>91</v>
      </c>
      <c r="B65" s="9">
        <v>2</v>
      </c>
      <c r="C65" s="9">
        <v>0</v>
      </c>
      <c r="D65" s="10">
        <v>2.2000000000000002</v>
      </c>
      <c r="E65" s="9">
        <v>5</v>
      </c>
    </row>
    <row r="66" spans="1:5" x14ac:dyDescent="0.2">
      <c r="A66" s="9" t="s">
        <v>92</v>
      </c>
      <c r="B66" s="9">
        <v>15</v>
      </c>
      <c r="C66" s="9">
        <v>1</v>
      </c>
      <c r="D66" s="10">
        <v>6.35</v>
      </c>
      <c r="E66" s="9">
        <v>4</v>
      </c>
    </row>
    <row r="67" spans="1:5" x14ac:dyDescent="0.2">
      <c r="A67" s="9" t="s">
        <v>93</v>
      </c>
      <c r="B67" s="9">
        <v>15</v>
      </c>
      <c r="C67" s="9">
        <v>1</v>
      </c>
      <c r="D67" s="10">
        <v>1.66</v>
      </c>
      <c r="E67" s="9">
        <v>4</v>
      </c>
    </row>
    <row r="68" spans="1:5" x14ac:dyDescent="0.2">
      <c r="A68" s="9" t="s">
        <v>94</v>
      </c>
      <c r="B68" s="9">
        <v>2</v>
      </c>
      <c r="C68" s="9">
        <v>0</v>
      </c>
      <c r="D68" s="10">
        <v>5.98</v>
      </c>
      <c r="E68" s="9">
        <v>3</v>
      </c>
    </row>
    <row r="69" spans="1:5" x14ac:dyDescent="0.2">
      <c r="A69" s="9" t="s">
        <v>95</v>
      </c>
      <c r="B69" s="9">
        <v>13</v>
      </c>
      <c r="C69" s="9">
        <v>1</v>
      </c>
      <c r="D69" s="10">
        <v>4.3</v>
      </c>
      <c r="E69" s="9">
        <v>4</v>
      </c>
    </row>
    <row r="70" spans="1:5" x14ac:dyDescent="0.2">
      <c r="A70" s="9" t="s">
        <v>96</v>
      </c>
      <c r="B70" s="9">
        <v>15</v>
      </c>
      <c r="C70" s="9">
        <v>1</v>
      </c>
      <c r="D70" s="10">
        <v>3.97</v>
      </c>
      <c r="E70" s="9">
        <v>3</v>
      </c>
    </row>
    <row r="71" spans="1:5" x14ac:dyDescent="0.2">
      <c r="A71" s="9" t="s">
        <v>97</v>
      </c>
      <c r="B71" s="9">
        <v>7</v>
      </c>
      <c r="C71" s="9">
        <v>0</v>
      </c>
      <c r="D71" s="10">
        <v>2.36</v>
      </c>
      <c r="E71" s="9">
        <v>5</v>
      </c>
    </row>
    <row r="72" spans="1:5" x14ac:dyDescent="0.2">
      <c r="A72" s="9" t="s">
        <v>98</v>
      </c>
      <c r="B72" s="9">
        <v>5</v>
      </c>
      <c r="C72" s="9">
        <v>0</v>
      </c>
      <c r="D72" s="10">
        <v>3.59</v>
      </c>
      <c r="E72" s="9">
        <v>5</v>
      </c>
    </row>
  </sheetData>
  <autoFilter ref="A12:E7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2"/>
  <sheetViews>
    <sheetView showGridLines="0" zoomScaleNormal="100" workbookViewId="0">
      <pane ySplit="32" topLeftCell="A33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</cols>
  <sheetData>
    <row r="1" spans="1:6" ht="20" x14ac:dyDescent="0.25">
      <c r="A1" s="1" t="s">
        <v>133</v>
      </c>
    </row>
    <row r="2" spans="1:6" x14ac:dyDescent="0.2">
      <c r="A2" s="2" t="s">
        <v>134</v>
      </c>
    </row>
    <row r="4" spans="1:6" x14ac:dyDescent="0.2">
      <c r="A4" s="3" t="s">
        <v>2</v>
      </c>
      <c r="B4" s="3" t="s">
        <v>3</v>
      </c>
      <c r="C4" s="4" t="s">
        <v>4</v>
      </c>
    </row>
    <row r="5" spans="1:6" ht="30" customHeight="1" x14ac:dyDescent="0.2">
      <c r="A5" s="5">
        <v>1</v>
      </c>
      <c r="B5" s="6" t="s">
        <v>135</v>
      </c>
      <c r="C5" s="7">
        <f>AVERAGEIF(B33:B92,"Pre-Upgrade",C33:C92)</f>
        <v>5.3579310344827578</v>
      </c>
    </row>
    <row r="6" spans="1:6" ht="30" customHeight="1" x14ac:dyDescent="0.2">
      <c r="A6" s="5">
        <v>2</v>
      </c>
      <c r="B6" s="6" t="s">
        <v>136</v>
      </c>
      <c r="C6" s="7">
        <f>AVERAGEIF(B33:B92,"Post-Upgrade",C33:C92)</f>
        <v>3.7432258064516124</v>
      </c>
    </row>
    <row r="7" spans="1:6" ht="30" customHeight="1" x14ac:dyDescent="0.2">
      <c r="A7" s="5">
        <v>3</v>
      </c>
      <c r="B7" s="6" t="s">
        <v>137</v>
      </c>
      <c r="C7" s="7">
        <f>AVERAGE(E15:E28)</f>
        <v>144.27857142857144</v>
      </c>
    </row>
    <row r="8" spans="1:6" ht="30" customHeight="1" x14ac:dyDescent="0.2">
      <c r="A8" s="5">
        <v>4</v>
      </c>
      <c r="B8" s="6" t="s">
        <v>138</v>
      </c>
      <c r="C8" s="7">
        <f>AVERAGE(F15:F28)</f>
        <v>101.03571428571426</v>
      </c>
    </row>
    <row r="9" spans="1:6" ht="30" customHeight="1" x14ac:dyDescent="0.2">
      <c r="A9" s="5">
        <v>5</v>
      </c>
      <c r="B9" s="6" t="s">
        <v>139</v>
      </c>
      <c r="C9" s="7">
        <f>TTEST(E15:E28,F15:F28,2,3)</f>
        <v>7.2596180982255379E-6</v>
      </c>
    </row>
    <row r="10" spans="1:6" ht="30" customHeight="1" x14ac:dyDescent="0.2">
      <c r="A10" s="5">
        <v>6</v>
      </c>
      <c r="B10" s="6" t="s">
        <v>140</v>
      </c>
      <c r="C10" s="7" t="s">
        <v>141</v>
      </c>
    </row>
    <row r="11" spans="1:6" ht="30" customHeight="1" x14ac:dyDescent="0.2">
      <c r="A11" s="5">
        <v>7</v>
      </c>
      <c r="B11" s="6" t="s">
        <v>142</v>
      </c>
      <c r="C11" s="7" t="s">
        <v>143</v>
      </c>
    </row>
    <row r="13" spans="1:6" x14ac:dyDescent="0.2">
      <c r="E13" s="11" t="s">
        <v>144</v>
      </c>
    </row>
    <row r="14" spans="1:6" x14ac:dyDescent="0.2">
      <c r="E14" s="12" t="s">
        <v>145</v>
      </c>
      <c r="F14" s="12" t="s">
        <v>146</v>
      </c>
    </row>
    <row r="15" spans="1:6" x14ac:dyDescent="0.2">
      <c r="E15" s="12">
        <v>148</v>
      </c>
      <c r="F15" s="13">
        <v>118.3</v>
      </c>
    </row>
    <row r="16" spans="1:6" x14ac:dyDescent="0.2">
      <c r="E16" s="12">
        <v>155.80000000000001</v>
      </c>
      <c r="F16" s="13">
        <v>135.69999999999999</v>
      </c>
    </row>
    <row r="17" spans="1:6" x14ac:dyDescent="0.2">
      <c r="E17" s="12">
        <v>140.9</v>
      </c>
      <c r="F17" s="13">
        <v>86.7</v>
      </c>
    </row>
    <row r="18" spans="1:6" x14ac:dyDescent="0.2">
      <c r="E18" s="12">
        <v>124.8</v>
      </c>
      <c r="F18" s="13">
        <v>108</v>
      </c>
    </row>
    <row r="19" spans="1:6" x14ac:dyDescent="0.2">
      <c r="E19" s="12">
        <v>136.19999999999999</v>
      </c>
      <c r="F19" s="13">
        <v>73.400000000000006</v>
      </c>
    </row>
    <row r="20" spans="1:6" x14ac:dyDescent="0.2">
      <c r="E20" s="12">
        <v>122.2</v>
      </c>
      <c r="F20" s="13">
        <v>88.1</v>
      </c>
    </row>
    <row r="21" spans="1:6" x14ac:dyDescent="0.2">
      <c r="E21" s="12">
        <v>149.6</v>
      </c>
      <c r="F21" s="13">
        <v>74.8</v>
      </c>
    </row>
    <row r="22" spans="1:6" x14ac:dyDescent="0.2">
      <c r="E22" s="12">
        <v>182.8</v>
      </c>
      <c r="F22" s="13">
        <v>113.4</v>
      </c>
    </row>
    <row r="23" spans="1:6" x14ac:dyDescent="0.2">
      <c r="E23" s="12">
        <v>135.19999999999999</v>
      </c>
      <c r="F23" s="13">
        <v>88.6</v>
      </c>
    </row>
    <row r="24" spans="1:6" x14ac:dyDescent="0.2">
      <c r="E24" s="12">
        <v>131.9</v>
      </c>
      <c r="F24" s="13">
        <v>125.5</v>
      </c>
    </row>
    <row r="25" spans="1:6" x14ac:dyDescent="0.2">
      <c r="E25" s="12">
        <v>160.69999999999999</v>
      </c>
      <c r="F25" s="13">
        <v>122.8</v>
      </c>
    </row>
    <row r="26" spans="1:6" x14ac:dyDescent="0.2">
      <c r="E26" s="12">
        <v>157.30000000000001</v>
      </c>
      <c r="F26" s="13">
        <v>114.5</v>
      </c>
    </row>
    <row r="27" spans="1:6" x14ac:dyDescent="0.2">
      <c r="E27" s="12">
        <v>150.69999999999999</v>
      </c>
      <c r="F27" s="13">
        <v>58.6</v>
      </c>
    </row>
    <row r="28" spans="1:6" x14ac:dyDescent="0.2">
      <c r="E28" s="12">
        <v>123.8</v>
      </c>
      <c r="F28" s="13">
        <v>106.1</v>
      </c>
    </row>
    <row r="31" spans="1:6" x14ac:dyDescent="0.2">
      <c r="A31" s="2" t="s">
        <v>13</v>
      </c>
    </row>
    <row r="32" spans="1:6" x14ac:dyDescent="0.2">
      <c r="A32" s="8" t="s">
        <v>14</v>
      </c>
      <c r="B32" s="8" t="s">
        <v>108</v>
      </c>
      <c r="C32" s="8" t="s">
        <v>19</v>
      </c>
    </row>
    <row r="33" spans="1:3" x14ac:dyDescent="0.2">
      <c r="A33" s="9" t="s">
        <v>20</v>
      </c>
      <c r="B33" s="9" t="s">
        <v>111</v>
      </c>
      <c r="C33" s="10">
        <v>4.41</v>
      </c>
    </row>
    <row r="34" spans="1:3" x14ac:dyDescent="0.2">
      <c r="A34" s="9" t="s">
        <v>25</v>
      </c>
      <c r="B34" s="9" t="s">
        <v>111</v>
      </c>
      <c r="C34" s="10">
        <v>8.94</v>
      </c>
    </row>
    <row r="35" spans="1:3" x14ac:dyDescent="0.2">
      <c r="A35" s="9" t="s">
        <v>30</v>
      </c>
      <c r="B35" s="9" t="s">
        <v>111</v>
      </c>
      <c r="C35" s="10">
        <v>3.54</v>
      </c>
    </row>
    <row r="36" spans="1:3" x14ac:dyDescent="0.2">
      <c r="A36" s="9" t="s">
        <v>32</v>
      </c>
      <c r="B36" s="9" t="s">
        <v>111</v>
      </c>
      <c r="C36" s="10">
        <v>4.7300000000000004</v>
      </c>
    </row>
    <row r="37" spans="1:3" x14ac:dyDescent="0.2">
      <c r="A37" s="9" t="s">
        <v>35</v>
      </c>
      <c r="B37" s="9" t="s">
        <v>111</v>
      </c>
      <c r="C37" s="10">
        <v>5.32</v>
      </c>
    </row>
    <row r="38" spans="1:3" x14ac:dyDescent="0.2">
      <c r="A38" s="9" t="s">
        <v>37</v>
      </c>
      <c r="B38" s="9" t="s">
        <v>111</v>
      </c>
      <c r="C38" s="10">
        <v>10.77</v>
      </c>
    </row>
    <row r="39" spans="1:3" x14ac:dyDescent="0.2">
      <c r="A39" s="9" t="s">
        <v>40</v>
      </c>
      <c r="B39" s="9" t="s">
        <v>111</v>
      </c>
      <c r="C39" s="10">
        <v>4.4400000000000004</v>
      </c>
    </row>
    <row r="40" spans="1:3" x14ac:dyDescent="0.2">
      <c r="A40" s="9" t="s">
        <v>42</v>
      </c>
      <c r="B40" s="9" t="s">
        <v>111</v>
      </c>
      <c r="C40" s="10">
        <v>2.11</v>
      </c>
    </row>
    <row r="41" spans="1:3" x14ac:dyDescent="0.2">
      <c r="A41" s="9" t="s">
        <v>43</v>
      </c>
      <c r="B41" s="9" t="s">
        <v>111</v>
      </c>
      <c r="C41" s="10">
        <v>5.6</v>
      </c>
    </row>
    <row r="42" spans="1:3" x14ac:dyDescent="0.2">
      <c r="A42" s="9" t="s">
        <v>45</v>
      </c>
      <c r="B42" s="9" t="s">
        <v>111</v>
      </c>
      <c r="C42" s="10">
        <v>6.36</v>
      </c>
    </row>
    <row r="43" spans="1:3" x14ac:dyDescent="0.2">
      <c r="A43" s="9" t="s">
        <v>47</v>
      </c>
      <c r="B43" s="9" t="s">
        <v>111</v>
      </c>
      <c r="C43" s="10">
        <v>7.65</v>
      </c>
    </row>
    <row r="44" spans="1:3" x14ac:dyDescent="0.2">
      <c r="A44" s="9" t="s">
        <v>49</v>
      </c>
      <c r="B44" s="9" t="s">
        <v>111</v>
      </c>
      <c r="C44" s="10">
        <v>5.0199999999999996</v>
      </c>
    </row>
    <row r="45" spans="1:3" x14ac:dyDescent="0.2">
      <c r="A45" s="9" t="s">
        <v>50</v>
      </c>
      <c r="B45" s="9" t="s">
        <v>111</v>
      </c>
      <c r="C45" s="10">
        <v>2.95</v>
      </c>
    </row>
    <row r="46" spans="1:3" x14ac:dyDescent="0.2">
      <c r="A46" s="9" t="s">
        <v>51</v>
      </c>
      <c r="B46" s="9" t="s">
        <v>111</v>
      </c>
      <c r="C46" s="10">
        <v>7.73</v>
      </c>
    </row>
    <row r="47" spans="1:3" x14ac:dyDescent="0.2">
      <c r="A47" s="9" t="s">
        <v>52</v>
      </c>
      <c r="B47" s="9" t="s">
        <v>111</v>
      </c>
      <c r="C47" s="10">
        <v>8.1199999999999992</v>
      </c>
    </row>
    <row r="48" spans="1:3" x14ac:dyDescent="0.2">
      <c r="A48" s="9" t="s">
        <v>53</v>
      </c>
      <c r="B48" s="9" t="s">
        <v>111</v>
      </c>
      <c r="C48" s="10">
        <v>4.01</v>
      </c>
    </row>
    <row r="49" spans="1:3" x14ac:dyDescent="0.2">
      <c r="A49" s="9" t="s">
        <v>54</v>
      </c>
      <c r="B49" s="9" t="s">
        <v>111</v>
      </c>
      <c r="C49" s="10">
        <v>4.38</v>
      </c>
    </row>
    <row r="50" spans="1:3" x14ac:dyDescent="0.2">
      <c r="A50" s="9" t="s">
        <v>55</v>
      </c>
      <c r="B50" s="9" t="s">
        <v>111</v>
      </c>
      <c r="C50" s="10">
        <v>9.0399999999999991</v>
      </c>
    </row>
    <row r="51" spans="1:3" x14ac:dyDescent="0.2">
      <c r="A51" s="9" t="s">
        <v>56</v>
      </c>
      <c r="B51" s="9" t="s">
        <v>111</v>
      </c>
      <c r="C51" s="10">
        <v>9.92</v>
      </c>
    </row>
    <row r="52" spans="1:3" x14ac:dyDescent="0.2">
      <c r="A52" s="9" t="s">
        <v>57</v>
      </c>
      <c r="B52" s="9" t="s">
        <v>111</v>
      </c>
      <c r="C52" s="10">
        <v>7.06</v>
      </c>
    </row>
    <row r="53" spans="1:3" x14ac:dyDescent="0.2">
      <c r="A53" s="9" t="s">
        <v>58</v>
      </c>
      <c r="B53" s="9" t="s">
        <v>111</v>
      </c>
      <c r="C53" s="10">
        <v>2.92</v>
      </c>
    </row>
    <row r="54" spans="1:3" x14ac:dyDescent="0.2">
      <c r="A54" s="9" t="s">
        <v>59</v>
      </c>
      <c r="B54" s="9" t="s">
        <v>111</v>
      </c>
      <c r="C54" s="10">
        <v>3.13</v>
      </c>
    </row>
    <row r="55" spans="1:3" x14ac:dyDescent="0.2">
      <c r="A55" s="9" t="s">
        <v>60</v>
      </c>
      <c r="B55" s="9" t="s">
        <v>111</v>
      </c>
      <c r="C55" s="10">
        <v>4.17</v>
      </c>
    </row>
    <row r="56" spans="1:3" x14ac:dyDescent="0.2">
      <c r="A56" s="9" t="s">
        <v>61</v>
      </c>
      <c r="B56" s="9" t="s">
        <v>111</v>
      </c>
      <c r="C56" s="10">
        <v>1.54</v>
      </c>
    </row>
    <row r="57" spans="1:3" x14ac:dyDescent="0.2">
      <c r="A57" s="9" t="s">
        <v>62</v>
      </c>
      <c r="B57" s="9" t="s">
        <v>111</v>
      </c>
      <c r="C57" s="10">
        <v>2.59</v>
      </c>
    </row>
    <row r="58" spans="1:3" x14ac:dyDescent="0.2">
      <c r="A58" s="9" t="s">
        <v>63</v>
      </c>
      <c r="B58" s="9" t="s">
        <v>111</v>
      </c>
      <c r="C58" s="10">
        <v>6.42</v>
      </c>
    </row>
    <row r="59" spans="1:3" x14ac:dyDescent="0.2">
      <c r="A59" s="9" t="s">
        <v>64</v>
      </c>
      <c r="B59" s="9" t="s">
        <v>111</v>
      </c>
      <c r="C59" s="10">
        <v>0.61</v>
      </c>
    </row>
    <row r="60" spans="1:3" x14ac:dyDescent="0.2">
      <c r="A60" s="9" t="s">
        <v>65</v>
      </c>
      <c r="B60" s="9" t="s">
        <v>111</v>
      </c>
      <c r="C60" s="10">
        <v>6.51</v>
      </c>
    </row>
    <row r="61" spans="1:3" x14ac:dyDescent="0.2">
      <c r="A61" s="9" t="s">
        <v>66</v>
      </c>
      <c r="B61" s="9" t="s">
        <v>111</v>
      </c>
      <c r="C61" s="10">
        <v>5.39</v>
      </c>
    </row>
    <row r="62" spans="1:3" x14ac:dyDescent="0.2">
      <c r="A62" s="9" t="s">
        <v>67</v>
      </c>
      <c r="B62" s="9" t="s">
        <v>112</v>
      </c>
      <c r="C62" s="10">
        <v>5.35</v>
      </c>
    </row>
    <row r="63" spans="1:3" x14ac:dyDescent="0.2">
      <c r="A63" s="9" t="s">
        <v>68</v>
      </c>
      <c r="B63" s="9" t="s">
        <v>112</v>
      </c>
      <c r="C63" s="10">
        <v>1.4</v>
      </c>
    </row>
    <row r="64" spans="1:3" x14ac:dyDescent="0.2">
      <c r="A64" s="9" t="s">
        <v>69</v>
      </c>
      <c r="B64" s="9" t="s">
        <v>112</v>
      </c>
      <c r="C64" s="10">
        <v>0.39</v>
      </c>
    </row>
    <row r="65" spans="1:3" x14ac:dyDescent="0.2">
      <c r="A65" s="9" t="s">
        <v>70</v>
      </c>
      <c r="B65" s="9" t="s">
        <v>112</v>
      </c>
      <c r="C65" s="10">
        <v>5.0999999999999996</v>
      </c>
    </row>
    <row r="66" spans="1:3" x14ac:dyDescent="0.2">
      <c r="A66" s="9" t="s">
        <v>71</v>
      </c>
      <c r="B66" s="9" t="s">
        <v>112</v>
      </c>
      <c r="C66" s="10">
        <v>6.77</v>
      </c>
    </row>
    <row r="67" spans="1:3" x14ac:dyDescent="0.2">
      <c r="A67" s="9" t="s">
        <v>72</v>
      </c>
      <c r="B67" s="9" t="s">
        <v>112</v>
      </c>
      <c r="C67" s="10">
        <v>1.1399999999999999</v>
      </c>
    </row>
    <row r="68" spans="1:3" x14ac:dyDescent="0.2">
      <c r="A68" s="9" t="s">
        <v>73</v>
      </c>
      <c r="B68" s="9" t="s">
        <v>112</v>
      </c>
      <c r="C68" s="10">
        <v>4.6900000000000004</v>
      </c>
    </row>
    <row r="69" spans="1:3" x14ac:dyDescent="0.2">
      <c r="A69" s="9" t="s">
        <v>74</v>
      </c>
      <c r="B69" s="9" t="s">
        <v>112</v>
      </c>
      <c r="C69" s="10">
        <v>7.06</v>
      </c>
    </row>
    <row r="70" spans="1:3" x14ac:dyDescent="0.2">
      <c r="A70" s="9" t="s">
        <v>76</v>
      </c>
      <c r="B70" s="9" t="s">
        <v>112</v>
      </c>
      <c r="C70" s="10">
        <v>0.3</v>
      </c>
    </row>
    <row r="71" spans="1:3" x14ac:dyDescent="0.2">
      <c r="A71" s="9" t="s">
        <v>77</v>
      </c>
      <c r="B71" s="9" t="s">
        <v>112</v>
      </c>
      <c r="C71" s="10">
        <v>5.26</v>
      </c>
    </row>
    <row r="72" spans="1:3" x14ac:dyDescent="0.2">
      <c r="A72" s="9" t="s">
        <v>78</v>
      </c>
      <c r="B72" s="9" t="s">
        <v>112</v>
      </c>
      <c r="C72" s="10">
        <v>5.64</v>
      </c>
    </row>
    <row r="73" spans="1:3" x14ac:dyDescent="0.2">
      <c r="A73" s="9" t="s">
        <v>79</v>
      </c>
      <c r="B73" s="9" t="s">
        <v>112</v>
      </c>
      <c r="C73" s="10">
        <v>2.14</v>
      </c>
    </row>
    <row r="74" spans="1:3" x14ac:dyDescent="0.2">
      <c r="A74" s="9" t="s">
        <v>80</v>
      </c>
      <c r="B74" s="9" t="s">
        <v>112</v>
      </c>
      <c r="C74" s="10">
        <v>3.45</v>
      </c>
    </row>
    <row r="75" spans="1:3" x14ac:dyDescent="0.2">
      <c r="A75" s="9" t="s">
        <v>81</v>
      </c>
      <c r="B75" s="9" t="s">
        <v>112</v>
      </c>
      <c r="C75" s="10">
        <v>3.4</v>
      </c>
    </row>
    <row r="76" spans="1:3" x14ac:dyDescent="0.2">
      <c r="A76" s="9" t="s">
        <v>82</v>
      </c>
      <c r="B76" s="9" t="s">
        <v>112</v>
      </c>
      <c r="C76" s="10">
        <v>1.93</v>
      </c>
    </row>
    <row r="77" spans="1:3" x14ac:dyDescent="0.2">
      <c r="A77" s="9" t="s">
        <v>83</v>
      </c>
      <c r="B77" s="9" t="s">
        <v>112</v>
      </c>
      <c r="C77" s="9">
        <v>5</v>
      </c>
    </row>
    <row r="78" spans="1:3" x14ac:dyDescent="0.2">
      <c r="A78" s="9" t="s">
        <v>84</v>
      </c>
      <c r="B78" s="9" t="s">
        <v>112</v>
      </c>
      <c r="C78" s="10">
        <v>5.53</v>
      </c>
    </row>
    <row r="79" spans="1:3" x14ac:dyDescent="0.2">
      <c r="A79" s="9" t="s">
        <v>85</v>
      </c>
      <c r="B79" s="9" t="s">
        <v>112</v>
      </c>
      <c r="C79" s="10">
        <v>1.32</v>
      </c>
    </row>
    <row r="80" spans="1:3" x14ac:dyDescent="0.2">
      <c r="A80" s="9" t="s">
        <v>86</v>
      </c>
      <c r="B80" s="9" t="s">
        <v>112</v>
      </c>
      <c r="C80" s="10">
        <v>2.69</v>
      </c>
    </row>
    <row r="81" spans="1:3" x14ac:dyDescent="0.2">
      <c r="A81" s="9" t="s">
        <v>87</v>
      </c>
      <c r="B81" s="9" t="s">
        <v>112</v>
      </c>
      <c r="C81" s="10">
        <v>9.57</v>
      </c>
    </row>
    <row r="82" spans="1:3" x14ac:dyDescent="0.2">
      <c r="A82" s="9" t="s">
        <v>88</v>
      </c>
      <c r="B82" s="9" t="s">
        <v>112</v>
      </c>
      <c r="C82" s="10">
        <v>2.52</v>
      </c>
    </row>
    <row r="83" spans="1:3" x14ac:dyDescent="0.2">
      <c r="A83" s="9" t="s">
        <v>89</v>
      </c>
      <c r="B83" s="9" t="s">
        <v>112</v>
      </c>
      <c r="C83" s="10">
        <v>2.77</v>
      </c>
    </row>
    <row r="84" spans="1:3" x14ac:dyDescent="0.2">
      <c r="A84" s="9" t="s">
        <v>90</v>
      </c>
      <c r="B84" s="9" t="s">
        <v>112</v>
      </c>
      <c r="C84" s="10">
        <v>2.21</v>
      </c>
    </row>
    <row r="85" spans="1:3" x14ac:dyDescent="0.2">
      <c r="A85" s="9" t="s">
        <v>91</v>
      </c>
      <c r="B85" s="9" t="s">
        <v>112</v>
      </c>
      <c r="C85" s="10">
        <v>2.2000000000000002</v>
      </c>
    </row>
    <row r="86" spans="1:3" x14ac:dyDescent="0.2">
      <c r="A86" s="9" t="s">
        <v>92</v>
      </c>
      <c r="B86" s="9" t="s">
        <v>112</v>
      </c>
      <c r="C86" s="10">
        <v>6.35</v>
      </c>
    </row>
    <row r="87" spans="1:3" x14ac:dyDescent="0.2">
      <c r="A87" s="9" t="s">
        <v>93</v>
      </c>
      <c r="B87" s="9" t="s">
        <v>112</v>
      </c>
      <c r="C87" s="10">
        <v>1.66</v>
      </c>
    </row>
    <row r="88" spans="1:3" x14ac:dyDescent="0.2">
      <c r="A88" s="9" t="s">
        <v>94</v>
      </c>
      <c r="B88" s="9" t="s">
        <v>112</v>
      </c>
      <c r="C88" s="10">
        <v>5.98</v>
      </c>
    </row>
    <row r="89" spans="1:3" x14ac:dyDescent="0.2">
      <c r="A89" s="9" t="s">
        <v>95</v>
      </c>
      <c r="B89" s="9" t="s">
        <v>112</v>
      </c>
      <c r="C89" s="10">
        <v>4.3</v>
      </c>
    </row>
    <row r="90" spans="1:3" x14ac:dyDescent="0.2">
      <c r="A90" s="9" t="s">
        <v>96</v>
      </c>
      <c r="B90" s="9" t="s">
        <v>112</v>
      </c>
      <c r="C90" s="10">
        <v>3.97</v>
      </c>
    </row>
    <row r="91" spans="1:3" x14ac:dyDescent="0.2">
      <c r="A91" s="9" t="s">
        <v>97</v>
      </c>
      <c r="B91" s="9" t="s">
        <v>112</v>
      </c>
      <c r="C91" s="10">
        <v>2.36</v>
      </c>
    </row>
    <row r="92" spans="1:3" x14ac:dyDescent="0.2">
      <c r="A92" s="9" t="s">
        <v>98</v>
      </c>
      <c r="B92" s="9" t="s">
        <v>112</v>
      </c>
      <c r="C92" s="10">
        <v>3.59</v>
      </c>
    </row>
  </sheetData>
  <autoFilter ref="A32:C9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4"/>
  <sheetViews>
    <sheetView showGridLines="0" zoomScaleNormal="100" workbookViewId="0">
      <pane ySplit="14" topLeftCell="A15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64" customWidth="1"/>
    <col min="3" max="3" width="28" customWidth="1"/>
    <col min="4" max="4" width="18" customWidth="1"/>
    <col min="5" max="5" width="21" customWidth="1"/>
  </cols>
  <sheetData>
    <row r="1" spans="1:5" ht="20" x14ac:dyDescent="0.25">
      <c r="A1" s="1" t="s">
        <v>147</v>
      </c>
    </row>
    <row r="2" spans="1:5" x14ac:dyDescent="0.2">
      <c r="A2" s="2" t="s">
        <v>148</v>
      </c>
    </row>
    <row r="4" spans="1:5" x14ac:dyDescent="0.2">
      <c r="A4" s="3" t="s">
        <v>2</v>
      </c>
      <c r="B4" s="3" t="s">
        <v>3</v>
      </c>
      <c r="C4" s="4" t="s">
        <v>4</v>
      </c>
    </row>
    <row r="5" spans="1:5" ht="30" customHeight="1" x14ac:dyDescent="0.2">
      <c r="A5" s="5">
        <v>1</v>
      </c>
      <c r="B5" s="6" t="s">
        <v>149</v>
      </c>
      <c r="C5" s="7">
        <f>SLOPE(E15:E74,C15:C74)</f>
        <v>0.20822490336661542</v>
      </c>
    </row>
    <row r="6" spans="1:5" ht="30" customHeight="1" x14ac:dyDescent="0.2">
      <c r="A6" s="5">
        <v>2</v>
      </c>
      <c r="B6" s="6" t="s">
        <v>150</v>
      </c>
      <c r="C6" s="7" t="s">
        <v>151</v>
      </c>
    </row>
    <row r="7" spans="1:5" ht="30" customHeight="1" x14ac:dyDescent="0.2">
      <c r="A7" s="5">
        <v>3</v>
      </c>
      <c r="B7" s="6" t="s">
        <v>152</v>
      </c>
      <c r="C7" s="7">
        <f>RSQ(E15:E74,C15:C74)</f>
        <v>0.1933878340582631</v>
      </c>
    </row>
    <row r="8" spans="1:5" ht="30" customHeight="1" x14ac:dyDescent="0.2">
      <c r="A8" s="5">
        <v>4</v>
      </c>
      <c r="B8" s="6" t="s">
        <v>153</v>
      </c>
      <c r="C8" s="7">
        <f>INDEX(LINEST(E15:E74,B15:D74),1,2)</f>
        <v>-0.12233499745275794</v>
      </c>
    </row>
    <row r="9" spans="1:5" ht="30" customHeight="1" x14ac:dyDescent="0.2">
      <c r="A9" s="5">
        <v>5</v>
      </c>
      <c r="B9" s="6" t="s">
        <v>154</v>
      </c>
      <c r="C9" s="7" t="s">
        <v>155</v>
      </c>
    </row>
    <row r="10" spans="1:5" ht="30" customHeight="1" x14ac:dyDescent="0.2">
      <c r="A10" s="5">
        <v>6</v>
      </c>
      <c r="B10" s="6" t="s">
        <v>156</v>
      </c>
      <c r="C10" s="7">
        <f>INDEX(LINEST(E15:E74,B15:D74),1,1)</f>
        <v>4.8907946804849365</v>
      </c>
    </row>
    <row r="11" spans="1:5" ht="30" customHeight="1" x14ac:dyDescent="0.2">
      <c r="A11" s="5">
        <v>7</v>
      </c>
      <c r="B11" s="6" t="s">
        <v>157</v>
      </c>
      <c r="C11" s="7" t="s">
        <v>158</v>
      </c>
    </row>
    <row r="13" spans="1:5" x14ac:dyDescent="0.2">
      <c r="A13" s="2" t="s">
        <v>13</v>
      </c>
    </row>
    <row r="14" spans="1:5" x14ac:dyDescent="0.2">
      <c r="A14" s="8" t="s">
        <v>14</v>
      </c>
      <c r="B14" s="8" t="s">
        <v>159</v>
      </c>
      <c r="C14" s="8" t="s">
        <v>131</v>
      </c>
      <c r="D14" s="8" t="s">
        <v>132</v>
      </c>
      <c r="E14" s="8" t="s">
        <v>19</v>
      </c>
    </row>
    <row r="15" spans="1:5" x14ac:dyDescent="0.2">
      <c r="A15" s="9" t="s">
        <v>20</v>
      </c>
      <c r="B15" s="9">
        <v>3</v>
      </c>
      <c r="C15" s="9">
        <v>2</v>
      </c>
      <c r="D15" s="9">
        <v>0</v>
      </c>
      <c r="E15" s="10">
        <v>4.41</v>
      </c>
    </row>
    <row r="16" spans="1:5" x14ac:dyDescent="0.2">
      <c r="A16" s="9" t="s">
        <v>25</v>
      </c>
      <c r="B16" s="9">
        <v>1</v>
      </c>
      <c r="C16" s="9">
        <v>11</v>
      </c>
      <c r="D16" s="9">
        <v>1</v>
      </c>
      <c r="E16" s="10">
        <v>8.94</v>
      </c>
    </row>
    <row r="17" spans="1:5" x14ac:dyDescent="0.2">
      <c r="A17" s="9" t="s">
        <v>30</v>
      </c>
      <c r="B17" s="9">
        <v>1</v>
      </c>
      <c r="C17" s="9">
        <v>2</v>
      </c>
      <c r="D17" s="9">
        <v>0</v>
      </c>
      <c r="E17" s="10">
        <v>3.54</v>
      </c>
    </row>
    <row r="18" spans="1:5" x14ac:dyDescent="0.2">
      <c r="A18" s="9" t="s">
        <v>32</v>
      </c>
      <c r="B18" s="9">
        <v>1</v>
      </c>
      <c r="C18" s="9">
        <v>4</v>
      </c>
      <c r="D18" s="9">
        <v>0</v>
      </c>
      <c r="E18" s="10">
        <v>4.7300000000000004</v>
      </c>
    </row>
    <row r="19" spans="1:5" x14ac:dyDescent="0.2">
      <c r="A19" s="9" t="s">
        <v>35</v>
      </c>
      <c r="B19" s="9">
        <v>3</v>
      </c>
      <c r="C19" s="9">
        <v>3</v>
      </c>
      <c r="D19" s="9">
        <v>0</v>
      </c>
      <c r="E19" s="10">
        <v>5.32</v>
      </c>
    </row>
    <row r="20" spans="1:5" x14ac:dyDescent="0.2">
      <c r="A20" s="9" t="s">
        <v>37</v>
      </c>
      <c r="B20" s="9">
        <v>2</v>
      </c>
      <c r="C20" s="9">
        <v>15</v>
      </c>
      <c r="D20" s="9">
        <v>1</v>
      </c>
      <c r="E20" s="10">
        <v>10.77</v>
      </c>
    </row>
    <row r="21" spans="1:5" x14ac:dyDescent="0.2">
      <c r="A21" s="9" t="s">
        <v>40</v>
      </c>
      <c r="B21" s="9">
        <v>1</v>
      </c>
      <c r="C21" s="9">
        <v>7</v>
      </c>
      <c r="D21" s="9">
        <v>0</v>
      </c>
      <c r="E21" s="10">
        <v>4.4400000000000004</v>
      </c>
    </row>
    <row r="22" spans="1:5" x14ac:dyDescent="0.2">
      <c r="A22" s="9" t="s">
        <v>42</v>
      </c>
      <c r="B22" s="9">
        <v>2</v>
      </c>
      <c r="C22" s="9">
        <v>4</v>
      </c>
      <c r="D22" s="9">
        <v>0</v>
      </c>
      <c r="E22" s="10">
        <v>2.11</v>
      </c>
    </row>
    <row r="23" spans="1:5" x14ac:dyDescent="0.2">
      <c r="A23" s="9" t="s">
        <v>43</v>
      </c>
      <c r="B23" s="9">
        <v>3</v>
      </c>
      <c r="C23" s="9">
        <v>15</v>
      </c>
      <c r="D23" s="9">
        <v>1</v>
      </c>
      <c r="E23" s="10">
        <v>5.6</v>
      </c>
    </row>
    <row r="24" spans="1:5" x14ac:dyDescent="0.2">
      <c r="A24" s="9" t="s">
        <v>45</v>
      </c>
      <c r="B24" s="9">
        <v>3</v>
      </c>
      <c r="C24" s="9">
        <v>15</v>
      </c>
      <c r="D24" s="9">
        <v>1</v>
      </c>
      <c r="E24" s="10">
        <v>6.36</v>
      </c>
    </row>
    <row r="25" spans="1:5" x14ac:dyDescent="0.2">
      <c r="A25" s="9" t="s">
        <v>47</v>
      </c>
      <c r="B25" s="9">
        <v>4</v>
      </c>
      <c r="C25" s="9">
        <v>13</v>
      </c>
      <c r="D25" s="9">
        <v>1</v>
      </c>
      <c r="E25" s="10">
        <v>7.65</v>
      </c>
    </row>
    <row r="26" spans="1:5" x14ac:dyDescent="0.2">
      <c r="A26" s="9" t="s">
        <v>49</v>
      </c>
      <c r="B26" s="9">
        <v>3</v>
      </c>
      <c r="C26" s="9">
        <v>5</v>
      </c>
      <c r="D26" s="9">
        <v>0</v>
      </c>
      <c r="E26" s="10">
        <v>5.0199999999999996</v>
      </c>
    </row>
    <row r="27" spans="1:5" x14ac:dyDescent="0.2">
      <c r="A27" s="9" t="s">
        <v>50</v>
      </c>
      <c r="B27" s="9">
        <v>2</v>
      </c>
      <c r="C27" s="9">
        <v>9</v>
      </c>
      <c r="D27" s="9">
        <v>0</v>
      </c>
      <c r="E27" s="10">
        <v>2.95</v>
      </c>
    </row>
    <row r="28" spans="1:5" x14ac:dyDescent="0.2">
      <c r="A28" s="9" t="s">
        <v>51</v>
      </c>
      <c r="B28" s="9">
        <v>3</v>
      </c>
      <c r="C28" s="9">
        <v>15</v>
      </c>
      <c r="D28" s="9">
        <v>1</v>
      </c>
      <c r="E28" s="10">
        <v>7.73</v>
      </c>
    </row>
    <row r="29" spans="1:5" x14ac:dyDescent="0.2">
      <c r="A29" s="9" t="s">
        <v>52</v>
      </c>
      <c r="B29" s="9">
        <v>4</v>
      </c>
      <c r="C29" s="9">
        <v>15</v>
      </c>
      <c r="D29" s="9">
        <v>1</v>
      </c>
      <c r="E29" s="10">
        <v>8.1199999999999992</v>
      </c>
    </row>
    <row r="30" spans="1:5" x14ac:dyDescent="0.2">
      <c r="A30" s="9" t="s">
        <v>53</v>
      </c>
      <c r="B30" s="9">
        <v>2</v>
      </c>
      <c r="C30" s="9">
        <v>4</v>
      </c>
      <c r="D30" s="9">
        <v>0</v>
      </c>
      <c r="E30" s="10">
        <v>4.01</v>
      </c>
    </row>
    <row r="31" spans="1:5" x14ac:dyDescent="0.2">
      <c r="A31" s="9" t="s">
        <v>54</v>
      </c>
      <c r="B31" s="9">
        <v>4</v>
      </c>
      <c r="C31" s="9">
        <v>15</v>
      </c>
      <c r="D31" s="9">
        <v>1</v>
      </c>
      <c r="E31" s="10">
        <v>4.38</v>
      </c>
    </row>
    <row r="32" spans="1:5" x14ac:dyDescent="0.2">
      <c r="A32" s="9" t="s">
        <v>55</v>
      </c>
      <c r="B32" s="9">
        <v>3</v>
      </c>
      <c r="C32" s="9">
        <v>15</v>
      </c>
      <c r="D32" s="9">
        <v>1</v>
      </c>
      <c r="E32" s="10">
        <v>9.0399999999999991</v>
      </c>
    </row>
    <row r="33" spans="1:5" x14ac:dyDescent="0.2">
      <c r="A33" s="9" t="s">
        <v>56</v>
      </c>
      <c r="B33" s="9">
        <v>1</v>
      </c>
      <c r="C33" s="9">
        <v>7</v>
      </c>
      <c r="D33" s="9">
        <v>1</v>
      </c>
      <c r="E33" s="10">
        <v>9.92</v>
      </c>
    </row>
    <row r="34" spans="1:5" x14ac:dyDescent="0.2">
      <c r="A34" s="9" t="s">
        <v>57</v>
      </c>
      <c r="B34" s="9">
        <v>3</v>
      </c>
      <c r="C34" s="9">
        <v>15</v>
      </c>
      <c r="D34" s="9">
        <v>1</v>
      </c>
      <c r="E34" s="10">
        <v>7.06</v>
      </c>
    </row>
    <row r="35" spans="1:5" x14ac:dyDescent="0.2">
      <c r="A35" s="9" t="s">
        <v>58</v>
      </c>
      <c r="B35" s="9">
        <v>2</v>
      </c>
      <c r="C35" s="9">
        <v>5</v>
      </c>
      <c r="D35" s="9">
        <v>0</v>
      </c>
      <c r="E35" s="10">
        <v>2.92</v>
      </c>
    </row>
    <row r="36" spans="1:5" x14ac:dyDescent="0.2">
      <c r="A36" s="9" t="s">
        <v>59</v>
      </c>
      <c r="B36" s="9">
        <v>1</v>
      </c>
      <c r="C36" s="9">
        <v>2</v>
      </c>
      <c r="D36" s="9">
        <v>0</v>
      </c>
      <c r="E36" s="10">
        <v>3.13</v>
      </c>
    </row>
    <row r="37" spans="1:5" x14ac:dyDescent="0.2">
      <c r="A37" s="9" t="s">
        <v>60</v>
      </c>
      <c r="B37" s="9">
        <v>1</v>
      </c>
      <c r="C37" s="9">
        <v>2</v>
      </c>
      <c r="D37" s="9">
        <v>0</v>
      </c>
      <c r="E37" s="10">
        <v>4.17</v>
      </c>
    </row>
    <row r="38" spans="1:5" x14ac:dyDescent="0.2">
      <c r="A38" s="9" t="s">
        <v>61</v>
      </c>
      <c r="B38" s="9">
        <v>3</v>
      </c>
      <c r="C38" s="9">
        <v>4</v>
      </c>
      <c r="D38" s="9">
        <v>0</v>
      </c>
      <c r="E38" s="10">
        <v>1.54</v>
      </c>
    </row>
    <row r="39" spans="1:5" x14ac:dyDescent="0.2">
      <c r="A39" s="9" t="s">
        <v>62</v>
      </c>
      <c r="B39" s="9">
        <v>3</v>
      </c>
      <c r="C39" s="9">
        <v>2</v>
      </c>
      <c r="D39" s="9">
        <v>0</v>
      </c>
      <c r="E39" s="10">
        <v>2.59</v>
      </c>
    </row>
    <row r="40" spans="1:5" x14ac:dyDescent="0.2">
      <c r="A40" s="9" t="s">
        <v>63</v>
      </c>
      <c r="B40" s="9">
        <v>3</v>
      </c>
      <c r="C40" s="9">
        <v>15</v>
      </c>
      <c r="D40" s="9">
        <v>1</v>
      </c>
      <c r="E40" s="10">
        <v>6.42</v>
      </c>
    </row>
    <row r="41" spans="1:5" x14ac:dyDescent="0.2">
      <c r="A41" s="9" t="s">
        <v>64</v>
      </c>
      <c r="B41" s="9">
        <v>2</v>
      </c>
      <c r="C41" s="9">
        <v>2</v>
      </c>
      <c r="D41" s="9">
        <v>0</v>
      </c>
      <c r="E41" s="10">
        <v>0.61</v>
      </c>
    </row>
    <row r="42" spans="1:5" x14ac:dyDescent="0.2">
      <c r="A42" s="9" t="s">
        <v>65</v>
      </c>
      <c r="B42" s="9">
        <v>4</v>
      </c>
      <c r="C42" s="9">
        <v>15</v>
      </c>
      <c r="D42" s="9">
        <v>1</v>
      </c>
      <c r="E42" s="10">
        <v>6.51</v>
      </c>
    </row>
    <row r="43" spans="1:5" x14ac:dyDescent="0.2">
      <c r="A43" s="9" t="s">
        <v>66</v>
      </c>
      <c r="B43" s="9">
        <v>3</v>
      </c>
      <c r="C43" s="9">
        <v>7</v>
      </c>
      <c r="D43" s="9">
        <v>0</v>
      </c>
      <c r="E43" s="10">
        <v>5.39</v>
      </c>
    </row>
    <row r="44" spans="1:5" x14ac:dyDescent="0.2">
      <c r="A44" s="9" t="s">
        <v>67</v>
      </c>
      <c r="B44" s="9">
        <v>2</v>
      </c>
      <c r="C44" s="9">
        <v>4</v>
      </c>
      <c r="D44" s="9">
        <v>0</v>
      </c>
      <c r="E44" s="10">
        <v>5.35</v>
      </c>
    </row>
    <row r="45" spans="1:5" x14ac:dyDescent="0.2">
      <c r="A45" s="9" t="s">
        <v>68</v>
      </c>
      <c r="B45" s="9">
        <v>1</v>
      </c>
      <c r="C45" s="9">
        <v>4</v>
      </c>
      <c r="D45" s="9">
        <v>0</v>
      </c>
      <c r="E45" s="10">
        <v>1.4</v>
      </c>
    </row>
    <row r="46" spans="1:5" x14ac:dyDescent="0.2">
      <c r="A46" s="9" t="s">
        <v>69</v>
      </c>
      <c r="B46" s="9">
        <v>2</v>
      </c>
      <c r="C46" s="9">
        <v>8</v>
      </c>
      <c r="D46" s="9">
        <v>0</v>
      </c>
      <c r="E46" s="10">
        <v>0.39</v>
      </c>
    </row>
    <row r="47" spans="1:5" x14ac:dyDescent="0.2">
      <c r="A47" s="9" t="s">
        <v>70</v>
      </c>
      <c r="B47" s="9">
        <v>2</v>
      </c>
      <c r="C47" s="9">
        <v>2</v>
      </c>
      <c r="D47" s="9">
        <v>0</v>
      </c>
      <c r="E47" s="10">
        <v>5.0999999999999996</v>
      </c>
    </row>
    <row r="48" spans="1:5" x14ac:dyDescent="0.2">
      <c r="A48" s="9" t="s">
        <v>71</v>
      </c>
      <c r="B48" s="9">
        <v>2</v>
      </c>
      <c r="C48" s="9">
        <v>13</v>
      </c>
      <c r="D48" s="9">
        <v>1</v>
      </c>
      <c r="E48" s="10">
        <v>6.77</v>
      </c>
    </row>
    <row r="49" spans="1:5" x14ac:dyDescent="0.2">
      <c r="A49" s="9" t="s">
        <v>72</v>
      </c>
      <c r="B49" s="9">
        <v>2</v>
      </c>
      <c r="C49" s="9">
        <v>8</v>
      </c>
      <c r="D49" s="9">
        <v>0</v>
      </c>
      <c r="E49" s="10">
        <v>1.1399999999999999</v>
      </c>
    </row>
    <row r="50" spans="1:5" x14ac:dyDescent="0.2">
      <c r="A50" s="9" t="s">
        <v>73</v>
      </c>
      <c r="B50" s="9">
        <v>2</v>
      </c>
      <c r="C50" s="9">
        <v>4</v>
      </c>
      <c r="D50" s="9">
        <v>0</v>
      </c>
      <c r="E50" s="10">
        <v>4.6900000000000004</v>
      </c>
    </row>
    <row r="51" spans="1:5" x14ac:dyDescent="0.2">
      <c r="A51" s="9" t="s">
        <v>74</v>
      </c>
      <c r="B51" s="9">
        <v>3</v>
      </c>
      <c r="C51" s="9">
        <v>13</v>
      </c>
      <c r="D51" s="9">
        <v>1</v>
      </c>
      <c r="E51" s="10">
        <v>7.06</v>
      </c>
    </row>
    <row r="52" spans="1:5" x14ac:dyDescent="0.2">
      <c r="A52" s="9" t="s">
        <v>76</v>
      </c>
      <c r="B52" s="9">
        <v>4</v>
      </c>
      <c r="C52" s="9">
        <v>8</v>
      </c>
      <c r="D52" s="9">
        <v>0</v>
      </c>
      <c r="E52" s="10">
        <v>0.3</v>
      </c>
    </row>
    <row r="53" spans="1:5" x14ac:dyDescent="0.2">
      <c r="A53" s="9" t="s">
        <v>77</v>
      </c>
      <c r="B53" s="9">
        <v>2</v>
      </c>
      <c r="C53" s="9">
        <v>7</v>
      </c>
      <c r="D53" s="9">
        <v>1</v>
      </c>
      <c r="E53" s="10">
        <v>5.26</v>
      </c>
    </row>
    <row r="54" spans="1:5" x14ac:dyDescent="0.2">
      <c r="A54" s="9" t="s">
        <v>78</v>
      </c>
      <c r="B54" s="9">
        <v>1</v>
      </c>
      <c r="C54" s="9">
        <v>2</v>
      </c>
      <c r="D54" s="9">
        <v>0</v>
      </c>
      <c r="E54" s="10">
        <v>5.64</v>
      </c>
    </row>
    <row r="55" spans="1:5" x14ac:dyDescent="0.2">
      <c r="A55" s="9" t="s">
        <v>79</v>
      </c>
      <c r="B55" s="9">
        <v>1</v>
      </c>
      <c r="C55" s="9">
        <v>2</v>
      </c>
      <c r="D55" s="9">
        <v>0</v>
      </c>
      <c r="E55" s="10">
        <v>2.14</v>
      </c>
    </row>
    <row r="56" spans="1:5" x14ac:dyDescent="0.2">
      <c r="A56" s="9" t="s">
        <v>80</v>
      </c>
      <c r="B56" s="9">
        <v>4</v>
      </c>
      <c r="C56" s="9">
        <v>15</v>
      </c>
      <c r="D56" s="9">
        <v>1</v>
      </c>
      <c r="E56" s="10">
        <v>3.45</v>
      </c>
    </row>
    <row r="57" spans="1:5" x14ac:dyDescent="0.2">
      <c r="A57" s="9" t="s">
        <v>81</v>
      </c>
      <c r="B57" s="9">
        <v>3</v>
      </c>
      <c r="C57" s="9">
        <v>4</v>
      </c>
      <c r="D57" s="9">
        <v>0</v>
      </c>
      <c r="E57" s="10">
        <v>3.4</v>
      </c>
    </row>
    <row r="58" spans="1:5" x14ac:dyDescent="0.2">
      <c r="A58" s="9" t="s">
        <v>82</v>
      </c>
      <c r="B58" s="9">
        <v>4</v>
      </c>
      <c r="C58" s="9">
        <v>2</v>
      </c>
      <c r="D58" s="9">
        <v>0</v>
      </c>
      <c r="E58" s="10">
        <v>1.93</v>
      </c>
    </row>
    <row r="59" spans="1:5" x14ac:dyDescent="0.2">
      <c r="A59" s="9" t="s">
        <v>83</v>
      </c>
      <c r="B59" s="9">
        <v>3</v>
      </c>
      <c r="C59" s="9">
        <v>15</v>
      </c>
      <c r="D59" s="9">
        <v>1</v>
      </c>
      <c r="E59" s="9">
        <v>5</v>
      </c>
    </row>
    <row r="60" spans="1:5" x14ac:dyDescent="0.2">
      <c r="A60" s="9" t="s">
        <v>84</v>
      </c>
      <c r="B60" s="9">
        <v>2</v>
      </c>
      <c r="C60" s="9">
        <v>2</v>
      </c>
      <c r="D60" s="9">
        <v>0</v>
      </c>
      <c r="E60" s="10">
        <v>5.53</v>
      </c>
    </row>
    <row r="61" spans="1:5" x14ac:dyDescent="0.2">
      <c r="A61" s="9" t="s">
        <v>85</v>
      </c>
      <c r="B61" s="9">
        <v>2</v>
      </c>
      <c r="C61" s="9">
        <v>9</v>
      </c>
      <c r="D61" s="9">
        <v>0</v>
      </c>
      <c r="E61" s="10">
        <v>1.32</v>
      </c>
    </row>
    <row r="62" spans="1:5" x14ac:dyDescent="0.2">
      <c r="A62" s="9" t="s">
        <v>86</v>
      </c>
      <c r="B62" s="9">
        <v>4</v>
      </c>
      <c r="C62" s="9">
        <v>15</v>
      </c>
      <c r="D62" s="9">
        <v>1</v>
      </c>
      <c r="E62" s="10">
        <v>2.69</v>
      </c>
    </row>
    <row r="63" spans="1:5" x14ac:dyDescent="0.2">
      <c r="A63" s="9" t="s">
        <v>87</v>
      </c>
      <c r="B63" s="9">
        <v>2</v>
      </c>
      <c r="C63" s="9">
        <v>15</v>
      </c>
      <c r="D63" s="9">
        <v>1</v>
      </c>
      <c r="E63" s="10">
        <v>9.57</v>
      </c>
    </row>
    <row r="64" spans="1:5" x14ac:dyDescent="0.2">
      <c r="A64" s="9" t="s">
        <v>88</v>
      </c>
      <c r="B64" s="9">
        <v>4</v>
      </c>
      <c r="C64" s="9">
        <v>13</v>
      </c>
      <c r="D64" s="9">
        <v>0</v>
      </c>
      <c r="E64" s="10">
        <v>2.52</v>
      </c>
    </row>
    <row r="65" spans="1:5" x14ac:dyDescent="0.2">
      <c r="A65" s="9" t="s">
        <v>89</v>
      </c>
      <c r="B65" s="9">
        <v>1</v>
      </c>
      <c r="C65" s="9">
        <v>4</v>
      </c>
      <c r="D65" s="9">
        <v>0</v>
      </c>
      <c r="E65" s="10">
        <v>2.77</v>
      </c>
    </row>
    <row r="66" spans="1:5" x14ac:dyDescent="0.2">
      <c r="A66" s="9" t="s">
        <v>90</v>
      </c>
      <c r="B66" s="9">
        <v>2</v>
      </c>
      <c r="C66" s="9">
        <v>9</v>
      </c>
      <c r="D66" s="9">
        <v>0</v>
      </c>
      <c r="E66" s="10">
        <v>2.21</v>
      </c>
    </row>
    <row r="67" spans="1:5" x14ac:dyDescent="0.2">
      <c r="A67" s="9" t="s">
        <v>91</v>
      </c>
      <c r="B67" s="9">
        <v>3</v>
      </c>
      <c r="C67" s="9">
        <v>2</v>
      </c>
      <c r="D67" s="9">
        <v>0</v>
      </c>
      <c r="E67" s="10">
        <v>2.2000000000000002</v>
      </c>
    </row>
    <row r="68" spans="1:5" x14ac:dyDescent="0.2">
      <c r="A68" s="9" t="s">
        <v>92</v>
      </c>
      <c r="B68" s="9">
        <v>3</v>
      </c>
      <c r="C68" s="9">
        <v>15</v>
      </c>
      <c r="D68" s="9">
        <v>1</v>
      </c>
      <c r="E68" s="10">
        <v>6.35</v>
      </c>
    </row>
    <row r="69" spans="1:5" x14ac:dyDescent="0.2">
      <c r="A69" s="9" t="s">
        <v>93</v>
      </c>
      <c r="B69" s="9">
        <v>4</v>
      </c>
      <c r="C69" s="9">
        <v>15</v>
      </c>
      <c r="D69" s="9">
        <v>1</v>
      </c>
      <c r="E69" s="10">
        <v>1.66</v>
      </c>
    </row>
    <row r="70" spans="1:5" x14ac:dyDescent="0.2">
      <c r="A70" s="9" t="s">
        <v>94</v>
      </c>
      <c r="B70" s="9">
        <v>1</v>
      </c>
      <c r="C70" s="9">
        <v>2</v>
      </c>
      <c r="D70" s="9">
        <v>0</v>
      </c>
      <c r="E70" s="10">
        <v>5.98</v>
      </c>
    </row>
    <row r="71" spans="1:5" x14ac:dyDescent="0.2">
      <c r="A71" s="9" t="s">
        <v>95</v>
      </c>
      <c r="B71" s="9">
        <v>2</v>
      </c>
      <c r="C71" s="9">
        <v>13</v>
      </c>
      <c r="D71" s="9">
        <v>1</v>
      </c>
      <c r="E71" s="10">
        <v>4.3</v>
      </c>
    </row>
    <row r="72" spans="1:5" x14ac:dyDescent="0.2">
      <c r="A72" s="9" t="s">
        <v>96</v>
      </c>
      <c r="B72" s="9">
        <v>4</v>
      </c>
      <c r="C72" s="9">
        <v>15</v>
      </c>
      <c r="D72" s="9">
        <v>1</v>
      </c>
      <c r="E72" s="10">
        <v>3.97</v>
      </c>
    </row>
    <row r="73" spans="1:5" x14ac:dyDescent="0.2">
      <c r="A73" s="9" t="s">
        <v>97</v>
      </c>
      <c r="B73" s="9">
        <v>1</v>
      </c>
      <c r="C73" s="9">
        <v>7</v>
      </c>
      <c r="D73" s="9">
        <v>0</v>
      </c>
      <c r="E73" s="10">
        <v>2.36</v>
      </c>
    </row>
    <row r="74" spans="1:5" x14ac:dyDescent="0.2">
      <c r="A74" s="9" t="s">
        <v>98</v>
      </c>
      <c r="B74" s="9">
        <v>2</v>
      </c>
      <c r="C74" s="9">
        <v>5</v>
      </c>
      <c r="D74" s="9">
        <v>0</v>
      </c>
      <c r="E74" s="10">
        <v>3.59</v>
      </c>
    </row>
  </sheetData>
  <autoFilter ref="A14:E7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Q1_Sort_Filter</vt:lpstr>
      <vt:lpstr>Q2_Aggregation</vt:lpstr>
      <vt:lpstr>Q3_Index_Match</vt:lpstr>
      <vt:lpstr>Q4_Correlation</vt:lpstr>
      <vt:lpstr>Q5_Hypothesis</vt:lpstr>
      <vt:lpstr>Q6_Regression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Penwell, Tasha</cp:lastModifiedBy>
  <cp:revision>0</cp:revision>
  <dcterms:created xsi:type="dcterms:W3CDTF">2026-07-09T14:03:43Z</dcterms:created>
  <dcterms:modified xsi:type="dcterms:W3CDTF">2026-07-09T14:11:58Z</dcterms:modified>
  <dc:language>en-US</dc:language>
</cp:coreProperties>
</file>